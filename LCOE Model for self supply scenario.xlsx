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ia Jose\OneDrive\Desktop\Docs\"/>
    </mc:Choice>
  </mc:AlternateContent>
  <bookViews>
    <workbookView xWindow="0" yWindow="0" windowWidth="9564" windowHeight="5928"/>
  </bookViews>
  <sheets>
    <sheet name="LCO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H58" i="1"/>
  <c r="I58" i="1"/>
  <c r="H59" i="1"/>
  <c r="I59" i="1"/>
  <c r="H60" i="1"/>
  <c r="I60" i="1"/>
  <c r="I28" i="1" l="1"/>
  <c r="I22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I18" i="1"/>
  <c r="F22" i="1"/>
  <c r="F18" i="1"/>
  <c r="L16" i="1"/>
  <c r="M16" i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K16" i="1"/>
  <c r="J16" i="1"/>
  <c r="J18" i="1" l="1"/>
  <c r="F24" i="1"/>
  <c r="F26" i="1" s="1"/>
  <c r="U28" i="1" s="1"/>
  <c r="R18" i="1"/>
  <c r="AC18" i="1"/>
  <c r="AB18" i="1"/>
  <c r="AA18" i="1"/>
  <c r="Z18" i="1"/>
  <c r="O18" i="1"/>
  <c r="Q18" i="1"/>
  <c r="P18" i="1"/>
  <c r="N18" i="1"/>
  <c r="T18" i="1"/>
  <c r="Y18" i="1"/>
  <c r="X18" i="1"/>
  <c r="K18" i="1"/>
  <c r="AH18" i="1"/>
  <c r="V18" i="1"/>
  <c r="U18" i="1"/>
  <c r="AE18" i="1"/>
  <c r="S18" i="1"/>
  <c r="M18" i="1"/>
  <c r="L18" i="1"/>
  <c r="W18" i="1"/>
  <c r="AG18" i="1"/>
  <c r="AF18" i="1"/>
  <c r="AD18" i="1"/>
  <c r="I20" i="1"/>
  <c r="G20" i="1" s="1"/>
  <c r="P22" i="1"/>
  <c r="AB22" i="1"/>
  <c r="Q22" i="1"/>
  <c r="AC22" i="1"/>
  <c r="R22" i="1"/>
  <c r="AD22" i="1"/>
  <c r="S22" i="1"/>
  <c r="AE22" i="1"/>
  <c r="AF22" i="1"/>
  <c r="U22" i="1"/>
  <c r="AG22" i="1"/>
  <c r="J22" i="1"/>
  <c r="V22" i="1"/>
  <c r="AH22" i="1"/>
  <c r="K22" i="1"/>
  <c r="L22" i="1"/>
  <c r="X22" i="1"/>
  <c r="M22" i="1"/>
  <c r="N22" i="1"/>
  <c r="Z22" i="1"/>
  <c r="T22" i="1"/>
  <c r="W22" i="1"/>
  <c r="Y22" i="1"/>
  <c r="O22" i="1"/>
  <c r="AA22" i="1"/>
  <c r="J28" i="1" l="1"/>
  <c r="K28" i="1"/>
  <c r="W28" i="1"/>
  <c r="AD28" i="1"/>
  <c r="AE28" i="1"/>
  <c r="AF28" i="1"/>
  <c r="AG28" i="1"/>
  <c r="AH28" i="1"/>
  <c r="L28" i="1"/>
  <c r="X28" i="1"/>
  <c r="M28" i="1"/>
  <c r="Y28" i="1"/>
  <c r="N28" i="1"/>
  <c r="Z28" i="1"/>
  <c r="O28" i="1"/>
  <c r="Q28" i="1"/>
  <c r="AA28" i="1"/>
  <c r="P28" i="1"/>
  <c r="AB28" i="1"/>
  <c r="AC28" i="1"/>
  <c r="R28" i="1"/>
  <c r="S28" i="1"/>
  <c r="T28" i="1"/>
  <c r="V28" i="1"/>
  <c r="G18" i="1"/>
  <c r="G22" i="1"/>
  <c r="F30" i="1" l="1"/>
  <c r="E50" i="1" s="1"/>
  <c r="F31" i="1"/>
  <c r="E42" i="1" s="1"/>
  <c r="F28" i="1"/>
  <c r="I50" i="1" l="1"/>
  <c r="I42" i="1"/>
</calcChain>
</file>

<file path=xl/sharedStrings.xml><?xml version="1.0" encoding="utf-8"?>
<sst xmlns="http://schemas.openxmlformats.org/spreadsheetml/2006/main" count="61" uniqueCount="51">
  <si>
    <t>Inputs</t>
  </si>
  <si>
    <t>Installed Capacity</t>
  </si>
  <si>
    <t>Capacity Factor</t>
  </si>
  <si>
    <t>%</t>
  </si>
  <si>
    <t>Lifetime</t>
  </si>
  <si>
    <t>yrs</t>
  </si>
  <si>
    <t>WACC (Discount Rate)</t>
  </si>
  <si>
    <t>O&amp;M (as % of CAPEX)</t>
  </si>
  <si>
    <t>Calculations</t>
  </si>
  <si>
    <t>Year</t>
  </si>
  <si>
    <t>Energy Generation</t>
  </si>
  <si>
    <t>%/yr</t>
  </si>
  <si>
    <t>Total OPEX</t>
  </si>
  <si>
    <t>Total CAPEX</t>
  </si>
  <si>
    <t>Results</t>
  </si>
  <si>
    <t>Setup</t>
  </si>
  <si>
    <t>Hours</t>
  </si>
  <si>
    <t>hrs</t>
  </si>
  <si>
    <t>NPV</t>
  </si>
  <si>
    <t>LCOE</t>
  </si>
  <si>
    <t>All input can be edited to test the model</t>
  </si>
  <si>
    <t>High Case Deviation</t>
  </si>
  <si>
    <t>Low Case Deviation</t>
  </si>
  <si>
    <t>Note</t>
  </si>
  <si>
    <t xml:space="preserve">All values are based on sources defined in the assignment document submitted. Any users can modify this document to test the values and see various configurations. </t>
  </si>
  <si>
    <t>AED</t>
  </si>
  <si>
    <t>AED/kW</t>
  </si>
  <si>
    <t>PV CAPEX</t>
  </si>
  <si>
    <t>AED/yr</t>
  </si>
  <si>
    <t>Battery CAPEX</t>
  </si>
  <si>
    <t>AED/kWh</t>
  </si>
  <si>
    <t>IRR</t>
  </si>
  <si>
    <t>Cash Flows</t>
  </si>
  <si>
    <t>Net Savings</t>
  </si>
  <si>
    <t>kW</t>
  </si>
  <si>
    <t>kWh</t>
  </si>
  <si>
    <t>Battery Capacity</t>
  </si>
  <si>
    <t>Grid tariff</t>
  </si>
  <si>
    <t xml:space="preserve">Gross Savings </t>
  </si>
  <si>
    <t>Sensitivity of IRR to CAPEX</t>
  </si>
  <si>
    <t>Sensitivity of IRR to Tariffs</t>
  </si>
  <si>
    <t>Sensitivity of NPV to Discount Rate</t>
  </si>
  <si>
    <t>Sensitivity of IRR to Capacity Factor</t>
  </si>
  <si>
    <t>CAPEX</t>
  </si>
  <si>
    <t>Grid Tariffs</t>
  </si>
  <si>
    <t>Unit (AED/kWh, %)</t>
  </si>
  <si>
    <t>Unit (% , %)</t>
  </si>
  <si>
    <t>Unit (%, AED)</t>
  </si>
  <si>
    <t>Unit (AED, %)</t>
  </si>
  <si>
    <t>ECONOMIC ANALYSES FOR THE ABU DHABI SELF SUPPLY POLICY MODEL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</si>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</sst>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&quot;AED&quot;#,##0.00"/>
    <numFmt numFmtId="165" formatCode="0.0%"/>
    <numFmt numFmtId="166" formatCode="_-* #,##0.000_-;\-* #,##0.000_-;_-* &quot;-&quot;??_-;_-@_-"/>
  </numFmts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theme="0" tint="-0.499984740745262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FF0000"/>
      <name val="Calibri"/>
      <family val="2"/>
      <charset val="1"/>
      <scheme val="minor"/>
    </font>
    <font>
      <b/>
      <sz val="18"/>
      <color theme="0"/>
      <name val="Calibri"/>
      <family val="2"/>
    </font>
    <font>
      <sz val="11"/>
      <color theme="1"/>
      <name val="Calibri"/>
      <family val="2"/>
    </font>
    <font>
      <sz val="11"/>
      <color theme="0" tint="-0.49998474074526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8" fillId="5" borderId="3" applyNumberFormat="0" applyAlignment="0" applyProtection="0"/>
    <xf numFmtId="0" fontId="10" fillId="6" borderId="3" applyNumberFormat="0" applyAlignment="0" applyProtection="0"/>
    <xf numFmtId="0" fontId="1" fillId="7" borderId="5" applyNumberFormat="0" applyFont="0" applyAlignment="0" applyProtection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11" fillId="0" borderId="0" xfId="11"/>
    <xf numFmtId="0" fontId="3" fillId="0" borderId="1" xfId="5"/>
    <xf numFmtId="0" fontId="12" fillId="0" borderId="0" xfId="0" applyFont="1"/>
    <xf numFmtId="164" fontId="12" fillId="0" borderId="0" xfId="0" applyNumberFormat="1" applyFont="1"/>
    <xf numFmtId="0" fontId="8" fillId="5" borderId="3" xfId="8"/>
    <xf numFmtId="9" fontId="8" fillId="5" borderId="3" xfId="8" applyNumberFormat="1"/>
    <xf numFmtId="3" fontId="8" fillId="5" borderId="3" xfId="8" applyNumberFormat="1"/>
    <xf numFmtId="165" fontId="8" fillId="5" borderId="3" xfId="8" applyNumberFormat="1"/>
    <xf numFmtId="41" fontId="10" fillId="6" borderId="3" xfId="9" applyNumberFormat="1"/>
    <xf numFmtId="3" fontId="10" fillId="6" borderId="3" xfId="9" applyNumberFormat="1"/>
    <xf numFmtId="0" fontId="13" fillId="8" borderId="0" xfId="0" applyFont="1" applyFill="1" applyAlignment="1">
      <alignment horizontal="center"/>
    </xf>
    <xf numFmtId="0" fontId="14" fillId="0" borderId="0" xfId="0" applyFont="1"/>
    <xf numFmtId="41" fontId="9" fillId="6" borderId="4" xfId="2" applyFont="1" applyFill="1" applyBorder="1"/>
    <xf numFmtId="0" fontId="0" fillId="7" borderId="7" xfId="10" applyFont="1" applyBorder="1" applyAlignment="1">
      <alignment horizontal="center" vertical="center"/>
    </xf>
    <xf numFmtId="0" fontId="0" fillId="7" borderId="8" xfId="10" applyFont="1" applyBorder="1" applyAlignment="1">
      <alignment horizontal="center" vertical="center"/>
    </xf>
    <xf numFmtId="0" fontId="0" fillId="7" borderId="9" xfId="10" applyFont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41" fontId="0" fillId="0" borderId="10" xfId="2" applyFont="1" applyBorder="1"/>
    <xf numFmtId="41" fontId="0" fillId="0" borderId="0" xfId="2" applyFont="1" applyBorder="1"/>
    <xf numFmtId="41" fontId="0" fillId="0" borderId="11" xfId="2" applyFont="1" applyBorder="1"/>
    <xf numFmtId="41" fontId="0" fillId="0" borderId="12" xfId="2" applyFont="1" applyBorder="1"/>
    <xf numFmtId="41" fontId="0" fillId="0" borderId="13" xfId="2" applyFont="1" applyBorder="1"/>
    <xf numFmtId="41" fontId="0" fillId="0" borderId="14" xfId="2" applyFont="1" applyBorder="1"/>
    <xf numFmtId="0" fontId="15" fillId="9" borderId="0" xfId="4" applyFont="1" applyFill="1"/>
    <xf numFmtId="0" fontId="16" fillId="9" borderId="0" xfId="0" applyFont="1" applyFill="1"/>
    <xf numFmtId="0" fontId="0" fillId="0" borderId="6" xfId="0" applyBorder="1"/>
    <xf numFmtId="0" fontId="0" fillId="0" borderId="6" xfId="0" applyFont="1" applyBorder="1"/>
    <xf numFmtId="41" fontId="0" fillId="0" borderId="6" xfId="2" applyFont="1" applyBorder="1"/>
    <xf numFmtId="9" fontId="0" fillId="0" borderId="6" xfId="3" applyFont="1" applyBorder="1"/>
    <xf numFmtId="41" fontId="0" fillId="0" borderId="6" xfId="2" applyFont="1" applyFill="1" applyBorder="1"/>
    <xf numFmtId="10" fontId="0" fillId="0" borderId="6" xfId="0" applyNumberFormat="1" applyFont="1" applyBorder="1"/>
    <xf numFmtId="9" fontId="0" fillId="0" borderId="6" xfId="0" applyNumberFormat="1" applyFont="1" applyBorder="1"/>
    <xf numFmtId="0" fontId="13" fillId="8" borderId="6" xfId="0" applyFont="1" applyFill="1" applyBorder="1" applyAlignment="1">
      <alignment horizontal="center" vertical="center"/>
    </xf>
    <xf numFmtId="2" fontId="0" fillId="0" borderId="6" xfId="0" applyNumberFormat="1" applyBorder="1"/>
    <xf numFmtId="0" fontId="17" fillId="0" borderId="2" xfId="6" applyFont="1"/>
    <xf numFmtId="2" fontId="0" fillId="0" borderId="6" xfId="0" applyNumberFormat="1" applyBorder="1" applyAlignment="1">
      <alignment horizontal="center"/>
    </xf>
    <xf numFmtId="0" fontId="13" fillId="10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center"/>
    </xf>
    <xf numFmtId="0" fontId="13" fillId="12" borderId="1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/>
    </xf>
    <xf numFmtId="43" fontId="0" fillId="0" borderId="0" xfId="0" applyNumberFormat="1"/>
    <xf numFmtId="166" fontId="5" fillId="2" borderId="6" xfId="7" applyNumberFormat="1" applyBorder="1"/>
    <xf numFmtId="0" fontId="5" fillId="2" borderId="6" xfId="7" applyBorder="1"/>
    <xf numFmtId="41" fontId="5" fillId="2" borderId="6" xfId="7" applyNumberFormat="1" applyBorder="1"/>
    <xf numFmtId="9" fontId="5" fillId="2" borderId="6" xfId="7" applyNumberFormat="1" applyBorder="1"/>
    <xf numFmtId="3" fontId="0" fillId="0" borderId="0" xfId="0" applyNumberFormat="1"/>
    <xf numFmtId="43" fontId="0" fillId="0" borderId="0" xfId="1" applyFont="1"/>
    <xf numFmtId="9" fontId="5" fillId="2" borderId="6" xfId="3" applyFont="1" applyFill="1" applyBorder="1"/>
    <xf numFmtId="9" fontId="7" fillId="4" borderId="6" xfId="3" applyFont="1" applyFill="1" applyBorder="1"/>
    <xf numFmtId="9" fontId="6" fillId="3" borderId="6" xfId="3" applyFont="1" applyFill="1" applyBorder="1"/>
    <xf numFmtId="9" fontId="0" fillId="0" borderId="6" xfId="0" applyNumberFormat="1" applyBorder="1"/>
    <xf numFmtId="43" fontId="0" fillId="0" borderId="6" xfId="1" applyFont="1" applyBorder="1"/>
    <xf numFmtId="165" fontId="0" fillId="0" borderId="6" xfId="0" applyNumberFormat="1" applyFont="1" applyBorder="1"/>
    <xf numFmtId="41" fontId="0" fillId="0" borderId="6" xfId="0" applyNumberFormat="1" applyFont="1" applyBorder="1"/>
    <xf numFmtId="41" fontId="5" fillId="2" borderId="6" xfId="2" applyFont="1" applyFill="1" applyBorder="1"/>
    <xf numFmtId="41" fontId="7" fillId="4" borderId="6" xfId="2" applyFont="1" applyFill="1" applyBorder="1"/>
    <xf numFmtId="41" fontId="6" fillId="3" borderId="6" xfId="2" applyFont="1" applyFill="1" applyBorder="1"/>
    <xf numFmtId="165" fontId="7" fillId="4" borderId="6" xfId="3" applyNumberFormat="1" applyFont="1" applyFill="1" applyBorder="1"/>
    <xf numFmtId="165" fontId="6" fillId="3" borderId="6" xfId="3" applyNumberFormat="1" applyFont="1" applyFill="1" applyBorder="1"/>
    <xf numFmtId="0" fontId="13" fillId="13" borderId="6" xfId="0" applyFont="1" applyFill="1" applyBorder="1" applyAlignment="1">
      <alignment horizontal="center" vertical="center"/>
    </xf>
    <xf numFmtId="0" fontId="0" fillId="0" borderId="0" xfId="0"/>
    <xf numFmtId="0" fontId="18" fillId="9" borderId="0" xfId="4" applyFont="1" applyFill="1"/>
    <xf numFmtId="0" fontId="19" fillId="9" borderId="0" xfId="0" applyFont="1" applyFill="1"/>
    <xf numFmtId="0" fontId="20" fillId="9" borderId="0" xfId="0" applyFont="1" applyFill="1"/>
  </cellXfs>
  <cellStyles count="12">
    <cellStyle name="Calculation" xfId="9" builtinId="22"/>
    <cellStyle name="Comma" xfId="1" builtinId="3"/>
    <cellStyle name="Comma [0]" xfId="2" builtinId="6"/>
    <cellStyle name="Explanatory Text" xfId="11" builtinId="53"/>
    <cellStyle name="Good" xfId="7" builtinId="26"/>
    <cellStyle name="Heading 1" xfId="5" builtinId="16"/>
    <cellStyle name="Heading 2" xfId="6" builtinId="17"/>
    <cellStyle name="Input" xfId="8" builtinId="20"/>
    <cellStyle name="Normal" xfId="0" builtinId="0"/>
    <cellStyle name="Note" xfId="10" builtinId="10"/>
    <cellStyle name="Percent" xfId="3" builtinId="5"/>
    <cellStyle name="Title" xfId="4" builtinId="15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Sensitivity of</a:t>
            </a:r>
            <a:r>
              <a:rPr lang="en-US" b="1" baseline="0"/>
              <a:t> IRR to Key Inputs</a:t>
            </a:r>
          </a:p>
          <a:p>
            <a:pPr>
              <a:defRPr/>
            </a:pPr>
            <a:r>
              <a:rPr lang="en-US" sz="1200" baseline="0"/>
              <a:t>(expressed as deviation from base case IRR = </a:t>
            </a:r>
            <a:r>
              <a:rPr lang="en-US" sz="1200" b="0" i="0" u="none" strike="noStrike" baseline="0">
                <a:effectLst/>
              </a:rPr>
              <a:t>11</a:t>
            </a:r>
            <a:r>
              <a:rPr lang="en-US" sz="1400" b="0" i="0" u="none" strike="noStrike" baseline="0">
                <a:effectLst/>
              </a:rPr>
              <a:t>%</a:t>
            </a:r>
            <a:r>
              <a:rPr lang="en-US" sz="1200" baseline="0"/>
              <a:t>)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LCOE!$I$57</c:f>
              <c:strCache>
                <c:ptCount val="1"/>
                <c:pt idx="0">
                  <c:v>Low Case Deviation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90326634099916E-2"/>
                  <c:y val="-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LCOE!$G$58:$G$60</c:f>
              <c:strCache>
                <c:ptCount val="3"/>
                <c:pt idx="0">
                  <c:v>Grid Tariffs</c:v>
                </c:pt>
                <c:pt idx="1">
                  <c:v>CAPEX</c:v>
                </c:pt>
                <c:pt idx="2">
                  <c:v>Capacity Factor</c:v>
                </c:pt>
              </c:strCache>
            </c:strRef>
          </c:cat>
          <c:val>
            <c:numRef>
              <c:f>LCOE!$I$58:$I$60</c:f>
              <c:numCache>
                <c:formatCode>0.00</c:formatCode>
                <c:ptCount val="3"/>
                <c:pt idx="0">
                  <c:v>-5.5883521374583855E-2</c:v>
                </c:pt>
                <c:pt idx="1">
                  <c:v>-2.0566566329663694E-2</c:v>
                </c:pt>
                <c:pt idx="2">
                  <c:v>-9.5154433161019902E-3</c:v>
                </c:pt>
              </c:numCache>
            </c:numRef>
          </c:val>
        </c:ser>
        <c:ser>
          <c:idx val="2"/>
          <c:order val="2"/>
          <c:tx>
            <c:strRef>
              <c:f>LCOE!$J$57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LCOE!$G$58:$G$60</c:f>
              <c:strCache>
                <c:ptCount val="3"/>
                <c:pt idx="0">
                  <c:v>Grid Tariffs</c:v>
                </c:pt>
                <c:pt idx="1">
                  <c:v>CAPEX</c:v>
                </c:pt>
                <c:pt idx="2">
                  <c:v>Capacity Factor</c:v>
                </c:pt>
              </c:strCache>
            </c:strRef>
          </c:cat>
          <c:val>
            <c:numRef>
              <c:f>LCOE!$J$58:$J$60</c:f>
              <c:numCache>
                <c:formatCode>0.00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2139551424"/>
        <c:axId val="513464000"/>
      </c:barChart>
      <c:barChart>
        <c:barDir val="bar"/>
        <c:grouping val="stacked"/>
        <c:varyColors val="0"/>
        <c:ser>
          <c:idx val="0"/>
          <c:order val="0"/>
          <c:tx>
            <c:strRef>
              <c:f>LCOE!$H$57</c:f>
              <c:strCache>
                <c:ptCount val="1"/>
                <c:pt idx="0">
                  <c:v>High Case Deviation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LCOE!$G$58:$G$60</c:f>
              <c:strCache>
                <c:ptCount val="3"/>
                <c:pt idx="0">
                  <c:v>Grid Tariffs</c:v>
                </c:pt>
                <c:pt idx="1">
                  <c:v>CAPEX</c:v>
                </c:pt>
                <c:pt idx="2">
                  <c:v>Capacity Factor</c:v>
                </c:pt>
              </c:strCache>
            </c:strRef>
          </c:cat>
          <c:val>
            <c:numRef>
              <c:f>LCOE!$H$58:$H$60</c:f>
              <c:numCache>
                <c:formatCode>0.00</c:formatCode>
                <c:ptCount val="3"/>
                <c:pt idx="0">
                  <c:v>4.5175931956924487E-2</c:v>
                </c:pt>
                <c:pt idx="1">
                  <c:v>2.6734895045848583E-2</c:v>
                </c:pt>
                <c:pt idx="2">
                  <c:v>1.3937531116392066E-2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13463456"/>
        <c:axId val="513468896"/>
      </c:barChart>
      <c:catAx>
        <c:axId val="213955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64000"/>
        <c:crosses val="autoZero"/>
        <c:auto val="1"/>
        <c:lblAlgn val="ctr"/>
        <c:lblOffset val="100"/>
        <c:noMultiLvlLbl val="0"/>
      </c:catAx>
      <c:valAx>
        <c:axId val="513464000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51424"/>
        <c:crosses val="autoZero"/>
        <c:crossBetween val="between"/>
      </c:valAx>
      <c:valAx>
        <c:axId val="513468896"/>
        <c:scaling>
          <c:orientation val="minMax"/>
          <c:max val="0.1"/>
          <c:min val="-0.1"/>
        </c:scaling>
        <c:delete val="0"/>
        <c:axPos val="t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63456"/>
        <c:crosses val="max"/>
        <c:crossBetween val="between"/>
      </c:valAx>
      <c:catAx>
        <c:axId val="513463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1346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41</xdr:row>
      <xdr:rowOff>179070</xdr:rowOff>
    </xdr:from>
    <xdr:to>
      <xdr:col>20</xdr:col>
      <xdr:colOff>281940</xdr:colOff>
      <xdr:row>57</xdr:row>
      <xdr:rowOff>7620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"/>
  <sheetViews>
    <sheetView tabSelected="1" zoomScaleNormal="100" workbookViewId="0">
      <pane ySplit="1" topLeftCell="A11" activePane="bottomLeft" state="frozen"/>
      <selection pane="bottomLeft" activeCell="K39" sqref="K39"/>
    </sheetView>
  </sheetViews>
  <sheetFormatPr defaultRowHeight="14.4" x14ac:dyDescent="0.3"/>
  <cols>
    <col min="1" max="3" width="1.77734375" customWidth="1"/>
    <col min="4" max="4" width="29.21875" customWidth="1"/>
    <col min="5" max="5" width="9.6640625" style="3" customWidth="1"/>
    <col min="6" max="6" width="13.33203125" customWidth="1"/>
    <col min="7" max="7" width="14.44140625" customWidth="1"/>
    <col min="8" max="8" width="21.44140625" customWidth="1"/>
    <col min="9" max="9" width="12" bestFit="1" customWidth="1"/>
    <col min="10" max="20" width="9.33203125" bestFit="1" customWidth="1"/>
    <col min="21" max="21" width="11.33203125" bestFit="1" customWidth="1"/>
    <col min="22" max="34" width="9.33203125" bestFit="1" customWidth="1"/>
  </cols>
  <sheetData>
    <row r="1" spans="1:34" ht="23.4" x14ac:dyDescent="0.45">
      <c r="A1" s="26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</row>
    <row r="4" spans="1:34" ht="20.399999999999999" thickBot="1" x14ac:dyDescent="0.45">
      <c r="A4" s="2" t="s">
        <v>0</v>
      </c>
    </row>
    <row r="5" spans="1:34" ht="15" thickTop="1" x14ac:dyDescent="0.3">
      <c r="D5" t="s">
        <v>1</v>
      </c>
      <c r="E5" s="3" t="s">
        <v>34</v>
      </c>
      <c r="F5" s="5">
        <v>10</v>
      </c>
    </row>
    <row r="6" spans="1:34" x14ac:dyDescent="0.3">
      <c r="D6" t="s">
        <v>2</v>
      </c>
      <c r="E6" s="3" t="s">
        <v>3</v>
      </c>
      <c r="F6" s="6">
        <v>0.32</v>
      </c>
    </row>
    <row r="7" spans="1:34" x14ac:dyDescent="0.3">
      <c r="D7" t="s">
        <v>4</v>
      </c>
      <c r="E7" s="3" t="s">
        <v>5</v>
      </c>
      <c r="F7" s="5">
        <v>25</v>
      </c>
    </row>
    <row r="8" spans="1:34" x14ac:dyDescent="0.3">
      <c r="D8" t="s">
        <v>6</v>
      </c>
      <c r="E8" s="3" t="s">
        <v>3</v>
      </c>
      <c r="F8" s="6">
        <v>7.0000000000000007E-2</v>
      </c>
    </row>
    <row r="9" spans="1:34" x14ac:dyDescent="0.3">
      <c r="D9" t="s">
        <v>27</v>
      </c>
      <c r="E9" s="4" t="s">
        <v>26</v>
      </c>
      <c r="F9" s="7">
        <v>2600</v>
      </c>
    </row>
    <row r="10" spans="1:34" x14ac:dyDescent="0.3">
      <c r="D10" t="s">
        <v>36</v>
      </c>
      <c r="E10" s="4" t="s">
        <v>34</v>
      </c>
      <c r="F10" s="7">
        <v>13</v>
      </c>
    </row>
    <row r="11" spans="1:34" x14ac:dyDescent="0.3">
      <c r="D11" t="s">
        <v>29</v>
      </c>
      <c r="E11" s="4" t="s">
        <v>26</v>
      </c>
      <c r="F11" s="7">
        <v>3000</v>
      </c>
    </row>
    <row r="12" spans="1:34" x14ac:dyDescent="0.3">
      <c r="D12" t="s">
        <v>7</v>
      </c>
      <c r="E12" s="3" t="s">
        <v>11</v>
      </c>
      <c r="F12" s="8">
        <v>0.01</v>
      </c>
    </row>
    <row r="13" spans="1:34" x14ac:dyDescent="0.3">
      <c r="D13" s="1" t="s">
        <v>20</v>
      </c>
    </row>
    <row r="15" spans="1:34" ht="20.399999999999999" thickBot="1" x14ac:dyDescent="0.45">
      <c r="A15" s="2" t="s">
        <v>8</v>
      </c>
    </row>
    <row r="16" spans="1:34" ht="15" thickTop="1" x14ac:dyDescent="0.3">
      <c r="D16" s="12" t="s">
        <v>9</v>
      </c>
      <c r="I16" s="14">
        <v>0</v>
      </c>
      <c r="J16" s="15">
        <f>I16+1</f>
        <v>1</v>
      </c>
      <c r="K16" s="15">
        <f>J16+1</f>
        <v>2</v>
      </c>
      <c r="L16" s="15">
        <f t="shared" ref="L16:AH16" si="0">K16+1</f>
        <v>3</v>
      </c>
      <c r="M16" s="15">
        <f t="shared" si="0"/>
        <v>4</v>
      </c>
      <c r="N16" s="15">
        <f t="shared" si="0"/>
        <v>5</v>
      </c>
      <c r="O16" s="15">
        <f t="shared" si="0"/>
        <v>6</v>
      </c>
      <c r="P16" s="15">
        <f t="shared" si="0"/>
        <v>7</v>
      </c>
      <c r="Q16" s="15">
        <f t="shared" si="0"/>
        <v>8</v>
      </c>
      <c r="R16" s="15">
        <f t="shared" si="0"/>
        <v>9</v>
      </c>
      <c r="S16" s="15">
        <f t="shared" si="0"/>
        <v>10</v>
      </c>
      <c r="T16" s="15">
        <f t="shared" si="0"/>
        <v>11</v>
      </c>
      <c r="U16" s="15">
        <f t="shared" si="0"/>
        <v>12</v>
      </c>
      <c r="V16" s="15">
        <f t="shared" si="0"/>
        <v>13</v>
      </c>
      <c r="W16" s="15">
        <f t="shared" si="0"/>
        <v>14</v>
      </c>
      <c r="X16" s="15">
        <f t="shared" si="0"/>
        <v>15</v>
      </c>
      <c r="Y16" s="15">
        <f t="shared" si="0"/>
        <v>16</v>
      </c>
      <c r="Z16" s="15">
        <f t="shared" si="0"/>
        <v>17</v>
      </c>
      <c r="AA16" s="15">
        <f t="shared" si="0"/>
        <v>18</v>
      </c>
      <c r="AB16" s="15">
        <f t="shared" si="0"/>
        <v>19</v>
      </c>
      <c r="AC16" s="15">
        <f t="shared" si="0"/>
        <v>20</v>
      </c>
      <c r="AD16" s="15">
        <f t="shared" si="0"/>
        <v>21</v>
      </c>
      <c r="AE16" s="15">
        <f t="shared" si="0"/>
        <v>22</v>
      </c>
      <c r="AF16" s="15">
        <f t="shared" si="0"/>
        <v>23</v>
      </c>
      <c r="AG16" s="15">
        <f t="shared" si="0"/>
        <v>24</v>
      </c>
      <c r="AH16" s="16">
        <f t="shared" si="0"/>
        <v>25</v>
      </c>
    </row>
    <row r="17" spans="1:34" x14ac:dyDescent="0.3">
      <c r="G17" s="11" t="s">
        <v>18</v>
      </c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9"/>
    </row>
    <row r="18" spans="1:34" x14ac:dyDescent="0.3">
      <c r="D18" s="12" t="s">
        <v>10</v>
      </c>
      <c r="E18" s="3" t="s">
        <v>35</v>
      </c>
      <c r="F18" s="9">
        <f>F5*F6*F33</f>
        <v>28032</v>
      </c>
      <c r="G18" s="13">
        <f>NPV($F$8,J18:AH18)+I18</f>
        <v>326673.24365280807</v>
      </c>
      <c r="I18" s="20">
        <f>IF(I$16=0,0,$F18)</f>
        <v>0</v>
      </c>
      <c r="J18" s="21">
        <f>IF(J$16=0,0,$F18)</f>
        <v>28032</v>
      </c>
      <c r="K18" s="21">
        <f t="shared" ref="J18:AH18" si="1">IF(K$16=0,0,$F18)</f>
        <v>28032</v>
      </c>
      <c r="L18" s="21">
        <f t="shared" si="1"/>
        <v>28032</v>
      </c>
      <c r="M18" s="21">
        <f t="shared" si="1"/>
        <v>28032</v>
      </c>
      <c r="N18" s="21">
        <f t="shared" si="1"/>
        <v>28032</v>
      </c>
      <c r="O18" s="21">
        <f t="shared" si="1"/>
        <v>28032</v>
      </c>
      <c r="P18" s="21">
        <f t="shared" si="1"/>
        <v>28032</v>
      </c>
      <c r="Q18" s="21">
        <f t="shared" si="1"/>
        <v>28032</v>
      </c>
      <c r="R18" s="21">
        <f t="shared" si="1"/>
        <v>28032</v>
      </c>
      <c r="S18" s="21">
        <f t="shared" si="1"/>
        <v>28032</v>
      </c>
      <c r="T18" s="21">
        <f t="shared" si="1"/>
        <v>28032</v>
      </c>
      <c r="U18" s="21">
        <f t="shared" si="1"/>
        <v>28032</v>
      </c>
      <c r="V18" s="21">
        <f t="shared" si="1"/>
        <v>28032</v>
      </c>
      <c r="W18" s="21">
        <f t="shared" si="1"/>
        <v>28032</v>
      </c>
      <c r="X18" s="21">
        <f t="shared" si="1"/>
        <v>28032</v>
      </c>
      <c r="Y18" s="21">
        <f t="shared" si="1"/>
        <v>28032</v>
      </c>
      <c r="Z18" s="21">
        <f t="shared" si="1"/>
        <v>28032</v>
      </c>
      <c r="AA18" s="21">
        <f t="shared" si="1"/>
        <v>28032</v>
      </c>
      <c r="AB18" s="21">
        <f t="shared" si="1"/>
        <v>28032</v>
      </c>
      <c r="AC18" s="21">
        <f t="shared" si="1"/>
        <v>28032</v>
      </c>
      <c r="AD18" s="21">
        <f t="shared" si="1"/>
        <v>28032</v>
      </c>
      <c r="AE18" s="21">
        <f t="shared" si="1"/>
        <v>28032</v>
      </c>
      <c r="AF18" s="21">
        <f t="shared" si="1"/>
        <v>28032</v>
      </c>
      <c r="AG18" s="21">
        <f t="shared" si="1"/>
        <v>28032</v>
      </c>
      <c r="AH18" s="22">
        <f t="shared" si="1"/>
        <v>28032</v>
      </c>
    </row>
    <row r="19" spans="1:34" x14ac:dyDescent="0.3">
      <c r="I19" s="20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2"/>
    </row>
    <row r="20" spans="1:34" x14ac:dyDescent="0.3">
      <c r="D20" s="12" t="s">
        <v>13</v>
      </c>
      <c r="E20" s="4" t="s">
        <v>25</v>
      </c>
      <c r="F20" s="10">
        <f>F9*F5+F10*F11</f>
        <v>65000</v>
      </c>
      <c r="G20" s="13">
        <f>NPV($F$8,J20:AH20)+I20</f>
        <v>65000</v>
      </c>
      <c r="I20" s="20">
        <f>IF(I$16=0,$F20,0)</f>
        <v>65000</v>
      </c>
      <c r="J20" s="21">
        <f t="shared" ref="J20:AH20" si="2">IF(J$16=0,$F20,0)</f>
        <v>0</v>
      </c>
      <c r="K20" s="21">
        <f t="shared" si="2"/>
        <v>0</v>
      </c>
      <c r="L20" s="21">
        <f t="shared" si="2"/>
        <v>0</v>
      </c>
      <c r="M20" s="21">
        <f t="shared" si="2"/>
        <v>0</v>
      </c>
      <c r="N20" s="21">
        <f t="shared" si="2"/>
        <v>0</v>
      </c>
      <c r="O20" s="21">
        <f t="shared" si="2"/>
        <v>0</v>
      </c>
      <c r="P20" s="21">
        <f t="shared" si="2"/>
        <v>0</v>
      </c>
      <c r="Q20" s="21">
        <f t="shared" si="2"/>
        <v>0</v>
      </c>
      <c r="R20" s="21">
        <f t="shared" si="2"/>
        <v>0</v>
      </c>
      <c r="S20" s="21">
        <f t="shared" si="2"/>
        <v>0</v>
      </c>
      <c r="T20" s="21">
        <f t="shared" si="2"/>
        <v>0</v>
      </c>
      <c r="U20" s="21">
        <f t="shared" si="2"/>
        <v>0</v>
      </c>
      <c r="V20" s="21">
        <f t="shared" si="2"/>
        <v>0</v>
      </c>
      <c r="W20" s="21">
        <f t="shared" si="2"/>
        <v>0</v>
      </c>
      <c r="X20" s="21">
        <f t="shared" si="2"/>
        <v>0</v>
      </c>
      <c r="Y20" s="21">
        <f t="shared" si="2"/>
        <v>0</v>
      </c>
      <c r="Z20" s="21">
        <f t="shared" si="2"/>
        <v>0</v>
      </c>
      <c r="AA20" s="21">
        <f t="shared" si="2"/>
        <v>0</v>
      </c>
      <c r="AB20" s="21">
        <f t="shared" si="2"/>
        <v>0</v>
      </c>
      <c r="AC20" s="21">
        <f t="shared" si="2"/>
        <v>0</v>
      </c>
      <c r="AD20" s="21">
        <f t="shared" si="2"/>
        <v>0</v>
      </c>
      <c r="AE20" s="21">
        <f t="shared" si="2"/>
        <v>0</v>
      </c>
      <c r="AF20" s="21">
        <f t="shared" si="2"/>
        <v>0</v>
      </c>
      <c r="AG20" s="21">
        <f t="shared" si="2"/>
        <v>0</v>
      </c>
      <c r="AH20" s="22">
        <f t="shared" si="2"/>
        <v>0</v>
      </c>
    </row>
    <row r="21" spans="1:34" x14ac:dyDescent="0.3">
      <c r="I21" s="20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/>
    </row>
    <row r="22" spans="1:34" x14ac:dyDescent="0.3">
      <c r="D22" s="12" t="s">
        <v>12</v>
      </c>
      <c r="E22" s="4" t="s">
        <v>28</v>
      </c>
      <c r="F22" s="9">
        <f>F12*F20</f>
        <v>650</v>
      </c>
      <c r="G22" s="13">
        <f>NPV($F$8,J22:AH22)+I22</f>
        <v>7574.8290658649112</v>
      </c>
      <c r="I22" s="23">
        <f>IF(I$16=0,0,$F22)</f>
        <v>0</v>
      </c>
      <c r="J22" s="24">
        <f t="shared" ref="J22:AH22" si="3">IF(J$16=0,0,$F22)</f>
        <v>650</v>
      </c>
      <c r="K22" s="24">
        <f t="shared" si="3"/>
        <v>650</v>
      </c>
      <c r="L22" s="24">
        <f t="shared" si="3"/>
        <v>650</v>
      </c>
      <c r="M22" s="24">
        <f t="shared" si="3"/>
        <v>650</v>
      </c>
      <c r="N22" s="24">
        <f t="shared" si="3"/>
        <v>650</v>
      </c>
      <c r="O22" s="24">
        <f t="shared" si="3"/>
        <v>650</v>
      </c>
      <c r="P22" s="24">
        <f t="shared" si="3"/>
        <v>650</v>
      </c>
      <c r="Q22" s="24">
        <f t="shared" si="3"/>
        <v>650</v>
      </c>
      <c r="R22" s="24">
        <f t="shared" si="3"/>
        <v>650</v>
      </c>
      <c r="S22" s="24">
        <f t="shared" si="3"/>
        <v>650</v>
      </c>
      <c r="T22" s="24">
        <f t="shared" si="3"/>
        <v>650</v>
      </c>
      <c r="U22" s="24">
        <f t="shared" si="3"/>
        <v>650</v>
      </c>
      <c r="V22" s="24">
        <f t="shared" si="3"/>
        <v>650</v>
      </c>
      <c r="W22" s="24">
        <f t="shared" si="3"/>
        <v>650</v>
      </c>
      <c r="X22" s="24">
        <f t="shared" si="3"/>
        <v>650</v>
      </c>
      <c r="Y22" s="24">
        <f t="shared" si="3"/>
        <v>650</v>
      </c>
      <c r="Z22" s="24">
        <f t="shared" si="3"/>
        <v>650</v>
      </c>
      <c r="AA22" s="24">
        <f t="shared" si="3"/>
        <v>650</v>
      </c>
      <c r="AB22" s="24">
        <f t="shared" si="3"/>
        <v>650</v>
      </c>
      <c r="AC22" s="24">
        <f t="shared" si="3"/>
        <v>650</v>
      </c>
      <c r="AD22" s="24">
        <f t="shared" si="3"/>
        <v>650</v>
      </c>
      <c r="AE22" s="24">
        <f t="shared" si="3"/>
        <v>650</v>
      </c>
      <c r="AF22" s="24">
        <f t="shared" si="3"/>
        <v>650</v>
      </c>
      <c r="AG22" s="24">
        <f t="shared" si="3"/>
        <v>650</v>
      </c>
      <c r="AH22" s="25">
        <f t="shared" si="3"/>
        <v>650</v>
      </c>
    </row>
    <row r="23" spans="1:34" x14ac:dyDescent="0.3">
      <c r="D23" s="12"/>
      <c r="E23" s="4"/>
      <c r="F23" s="45"/>
    </row>
    <row r="24" spans="1:34" x14ac:dyDescent="0.3">
      <c r="D24" s="12" t="s">
        <v>38</v>
      </c>
      <c r="E24" s="4" t="s">
        <v>28</v>
      </c>
      <c r="F24" s="45">
        <f>F18*F34</f>
        <v>8549.76</v>
      </c>
    </row>
    <row r="25" spans="1:34" x14ac:dyDescent="0.3">
      <c r="D25" s="12"/>
      <c r="E25" s="4"/>
      <c r="F25" s="45"/>
    </row>
    <row r="26" spans="1:34" ht="16.2" customHeight="1" x14ac:dyDescent="0.3">
      <c r="D26" s="12" t="s">
        <v>33</v>
      </c>
      <c r="E26" s="4" t="s">
        <v>28</v>
      </c>
      <c r="F26" s="45">
        <f>F24-F12*F20</f>
        <v>7899.76</v>
      </c>
      <c r="I26" t="s">
        <v>32</v>
      </c>
    </row>
    <row r="27" spans="1:34" ht="20.399999999999999" thickBot="1" x14ac:dyDescent="0.45">
      <c r="A27" s="2" t="s">
        <v>14</v>
      </c>
    </row>
    <row r="28" spans="1:34" ht="15" thickTop="1" x14ac:dyDescent="0.3">
      <c r="D28" s="12" t="s">
        <v>19</v>
      </c>
      <c r="E28" s="47" t="s">
        <v>30</v>
      </c>
      <c r="F28" s="46">
        <f>SUM(G20,G22)/G18</f>
        <v>0.22216337112383233</v>
      </c>
      <c r="I28" s="50">
        <f>-F20</f>
        <v>-65000</v>
      </c>
      <c r="J28" s="45">
        <f>$F$26</f>
        <v>7899.76</v>
      </c>
      <c r="K28" s="45">
        <f t="shared" ref="K28:AH28" si="4">$F$26</f>
        <v>7899.76</v>
      </c>
      <c r="L28" s="51">
        <f t="shared" si="4"/>
        <v>7899.76</v>
      </c>
      <c r="M28" s="51">
        <f t="shared" si="4"/>
        <v>7899.76</v>
      </c>
      <c r="N28" s="51">
        <f t="shared" si="4"/>
        <v>7899.76</v>
      </c>
      <c r="O28" s="51">
        <f t="shared" si="4"/>
        <v>7899.76</v>
      </c>
      <c r="P28" s="51">
        <f t="shared" si="4"/>
        <v>7899.76</v>
      </c>
      <c r="Q28" s="51">
        <f t="shared" si="4"/>
        <v>7899.76</v>
      </c>
      <c r="R28" s="51">
        <f t="shared" si="4"/>
        <v>7899.76</v>
      </c>
      <c r="S28" s="51">
        <f t="shared" si="4"/>
        <v>7899.76</v>
      </c>
      <c r="T28" s="51">
        <f t="shared" si="4"/>
        <v>7899.76</v>
      </c>
      <c r="U28" s="51">
        <f>$F$26</f>
        <v>7899.76</v>
      </c>
      <c r="V28" s="51">
        <f t="shared" si="4"/>
        <v>7899.76</v>
      </c>
      <c r="W28" s="51">
        <f t="shared" si="4"/>
        <v>7899.76</v>
      </c>
      <c r="X28" s="51">
        <f t="shared" si="4"/>
        <v>7899.76</v>
      </c>
      <c r="Y28" s="51">
        <f t="shared" si="4"/>
        <v>7899.76</v>
      </c>
      <c r="Z28" s="51">
        <f t="shared" si="4"/>
        <v>7899.76</v>
      </c>
      <c r="AA28" s="51">
        <f t="shared" si="4"/>
        <v>7899.76</v>
      </c>
      <c r="AB28" s="51">
        <f t="shared" si="4"/>
        <v>7899.76</v>
      </c>
      <c r="AC28" s="51">
        <f t="shared" si="4"/>
        <v>7899.76</v>
      </c>
      <c r="AD28" s="51">
        <f t="shared" si="4"/>
        <v>7899.76</v>
      </c>
      <c r="AE28" s="51">
        <f t="shared" si="4"/>
        <v>7899.76</v>
      </c>
      <c r="AF28" s="51">
        <f t="shared" si="4"/>
        <v>7899.76</v>
      </c>
      <c r="AG28" s="51">
        <f t="shared" si="4"/>
        <v>7899.76</v>
      </c>
      <c r="AH28" s="51">
        <f t="shared" si="4"/>
        <v>7899.76</v>
      </c>
    </row>
    <row r="29" spans="1:34" x14ac:dyDescent="0.3">
      <c r="E29"/>
      <c r="I29" s="50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</row>
    <row r="30" spans="1:34" x14ac:dyDescent="0.3">
      <c r="D30" s="12" t="s">
        <v>18</v>
      </c>
      <c r="E30" s="47" t="s">
        <v>25</v>
      </c>
      <c r="F30" s="48">
        <f>NPV(F8,J28:AH28)+I28</f>
        <v>27060.510248241553</v>
      </c>
    </row>
    <row r="31" spans="1:34" x14ac:dyDescent="0.3">
      <c r="D31" s="12" t="s">
        <v>31</v>
      </c>
      <c r="E31" s="47" t="s">
        <v>3</v>
      </c>
      <c r="F31" s="49">
        <f>IRR(I28:AH28)</f>
        <v>0.11321233685688914</v>
      </c>
    </row>
    <row r="32" spans="1:34" ht="20.399999999999999" thickBot="1" x14ac:dyDescent="0.45">
      <c r="A32" s="2" t="s">
        <v>15</v>
      </c>
    </row>
    <row r="33" spans="1:9" ht="15" thickTop="1" x14ac:dyDescent="0.3">
      <c r="D33" t="s">
        <v>16</v>
      </c>
      <c r="E33" s="3" t="s">
        <v>17</v>
      </c>
      <c r="F33">
        <v>8760</v>
      </c>
    </row>
    <row r="34" spans="1:9" x14ac:dyDescent="0.3">
      <c r="D34" t="s">
        <v>37</v>
      </c>
      <c r="E34" s="3" t="s">
        <v>30</v>
      </c>
      <c r="F34">
        <v>0.30499999999999999</v>
      </c>
    </row>
    <row r="37" spans="1:9" s="67" customFormat="1" ht="23.4" x14ac:dyDescent="0.45">
      <c r="A37" s="66" t="s">
        <v>50</v>
      </c>
      <c r="E37" s="68"/>
    </row>
    <row r="41" spans="1:9" ht="19.8" customHeight="1" x14ac:dyDescent="0.3">
      <c r="D41" s="39" t="s">
        <v>39</v>
      </c>
      <c r="E41" s="39"/>
      <c r="H41" s="40" t="s">
        <v>40</v>
      </c>
      <c r="I41" s="40"/>
    </row>
    <row r="42" spans="1:9" x14ac:dyDescent="0.3">
      <c r="D42" s="29" t="s">
        <v>48</v>
      </c>
      <c r="E42" s="34">
        <f>F31</f>
        <v>0.11321233685688914</v>
      </c>
      <c r="H42" s="29" t="s">
        <v>45</v>
      </c>
      <c r="I42" s="55">
        <f>F31</f>
        <v>0.11321233685688914</v>
      </c>
    </row>
    <row r="43" spans="1:9" x14ac:dyDescent="0.3">
      <c r="D43" s="30">
        <v>55000</v>
      </c>
      <c r="E43" s="52">
        <f t="dataTable" ref="E43:E47" dt2D="0" dtr="0" r1="F20" ca="1"/>
        <v>0.13994723190273772</v>
      </c>
      <c r="H43" s="56">
        <v>0.4</v>
      </c>
      <c r="I43" s="52">
        <f t="dataTable" ref="I43:I47" dt2D="0" dtr="0" r1="F34" ca="1"/>
        <v>0.15838826881381363</v>
      </c>
    </row>
    <row r="44" spans="1:9" x14ac:dyDescent="0.3">
      <c r="D44" s="30">
        <v>60000</v>
      </c>
      <c r="E44" s="52">
        <v>0.12561865679883044</v>
      </c>
      <c r="H44" s="56">
        <v>0.35</v>
      </c>
      <c r="I44" s="52">
        <v>0.1349961647665141</v>
      </c>
    </row>
    <row r="45" spans="1:9" x14ac:dyDescent="0.3">
      <c r="D45" s="30">
        <v>65000</v>
      </c>
      <c r="E45" s="53">
        <v>0.11321233685688914</v>
      </c>
      <c r="H45" s="56">
        <v>0.30499999999999999</v>
      </c>
      <c r="I45" s="53">
        <v>0.11321233685688914</v>
      </c>
    </row>
    <row r="46" spans="1:9" x14ac:dyDescent="0.3">
      <c r="D46" s="30">
        <v>70000</v>
      </c>
      <c r="E46" s="54">
        <v>0.10232058333125971</v>
      </c>
      <c r="H46" s="56">
        <v>0.25</v>
      </c>
      <c r="I46" s="54">
        <v>8.5127553597810213E-2</v>
      </c>
    </row>
    <row r="47" spans="1:9" x14ac:dyDescent="0.3">
      <c r="D47" s="32">
        <v>75000</v>
      </c>
      <c r="E47" s="54">
        <v>9.2645770527225446E-2</v>
      </c>
      <c r="H47" s="56">
        <v>0.2</v>
      </c>
      <c r="I47" s="54">
        <v>5.7328815482305284E-2</v>
      </c>
    </row>
    <row r="49" spans="1:10" x14ac:dyDescent="0.3">
      <c r="D49" s="41" t="s">
        <v>41</v>
      </c>
      <c r="E49" s="42"/>
      <c r="H49" s="64" t="s">
        <v>42</v>
      </c>
      <c r="I49" s="64"/>
    </row>
    <row r="50" spans="1:10" x14ac:dyDescent="0.3">
      <c r="D50" s="29" t="s">
        <v>47</v>
      </c>
      <c r="E50" s="58">
        <f>F30</f>
        <v>27060.510248241553</v>
      </c>
      <c r="H50" s="29" t="s">
        <v>46</v>
      </c>
      <c r="I50" s="55">
        <f>F31</f>
        <v>0.11321233685688914</v>
      </c>
    </row>
    <row r="51" spans="1:10" x14ac:dyDescent="0.3">
      <c r="D51" s="57">
        <v>0.1</v>
      </c>
      <c r="E51" s="59">
        <f t="dataTable" ref="E51:E55" dt2D="0" dtr="0" r1="F8" ca="1"/>
        <v>6706.4376544075058</v>
      </c>
      <c r="H51" s="31">
        <v>0.35</v>
      </c>
      <c r="I51" s="63">
        <f t="dataTable" ref="I51:I53" dt2D="0" dtr="0" r1="F6"/>
        <v>0.12714986797328121</v>
      </c>
    </row>
    <row r="52" spans="1:10" x14ac:dyDescent="0.3">
      <c r="D52" s="34">
        <v>0.09</v>
      </c>
      <c r="E52" s="59">
        <v>12596.021459987824</v>
      </c>
      <c r="H52" s="31">
        <v>0.32</v>
      </c>
      <c r="I52" s="62">
        <v>0.11321233685688914</v>
      </c>
    </row>
    <row r="53" spans="1:10" x14ac:dyDescent="0.3">
      <c r="D53" s="33">
        <v>7.0000000000000007E-2</v>
      </c>
      <c r="E53" s="60">
        <v>27060.510248241553</v>
      </c>
      <c r="H53" s="31">
        <v>0.3</v>
      </c>
      <c r="I53" s="52">
        <v>0.10369689354078715</v>
      </c>
    </row>
    <row r="54" spans="1:10" x14ac:dyDescent="0.3">
      <c r="D54" s="34">
        <v>0.06</v>
      </c>
      <c r="E54" s="61">
        <v>35985.445644842388</v>
      </c>
      <c r="H54" s="18"/>
      <c r="I54" s="18"/>
    </row>
    <row r="55" spans="1:10" x14ac:dyDescent="0.3">
      <c r="D55" s="57">
        <v>0.05</v>
      </c>
      <c r="E55" s="61">
        <v>46338.779525057675</v>
      </c>
      <c r="H55" s="18"/>
      <c r="I55" s="18"/>
    </row>
    <row r="57" spans="1:10" x14ac:dyDescent="0.3">
      <c r="G57" s="35"/>
      <c r="H57" s="35" t="s">
        <v>21</v>
      </c>
      <c r="I57" s="43" t="s">
        <v>22</v>
      </c>
      <c r="J57" s="43"/>
    </row>
    <row r="58" spans="1:10" x14ac:dyDescent="0.3">
      <c r="G58" s="28" t="s">
        <v>44</v>
      </c>
      <c r="H58" s="36">
        <f>I43-I45</f>
        <v>4.5175931956924487E-2</v>
      </c>
      <c r="I58" s="44">
        <f>I47-I45</f>
        <v>-5.5883521374583855E-2</v>
      </c>
      <c r="J58" s="44"/>
    </row>
    <row r="59" spans="1:10" x14ac:dyDescent="0.3">
      <c r="G59" s="28" t="s">
        <v>43</v>
      </c>
      <c r="H59" s="36">
        <f>E43-E45</f>
        <v>2.6734895045848583E-2</v>
      </c>
      <c r="I59" s="38">
        <f>E47-E45</f>
        <v>-2.0566566329663694E-2</v>
      </c>
      <c r="J59" s="38"/>
    </row>
    <row r="60" spans="1:10" x14ac:dyDescent="0.3">
      <c r="G60" s="28" t="s">
        <v>2</v>
      </c>
      <c r="H60" s="36">
        <f>I51-I52</f>
        <v>1.3937531116392066E-2</v>
      </c>
      <c r="I60" s="38">
        <f>I53-I52</f>
        <v>-9.5154433161019902E-3</v>
      </c>
      <c r="J60" s="38"/>
    </row>
    <row r="61" spans="1:10" x14ac:dyDescent="0.3">
      <c r="I61" s="65"/>
      <c r="J61" s="65"/>
    </row>
    <row r="64" spans="1:10" ht="18" thickBot="1" x14ac:dyDescent="0.4">
      <c r="A64" s="37" t="s">
        <v>23</v>
      </c>
    </row>
    <row r="65" spans="4:4" ht="15" thickTop="1" x14ac:dyDescent="0.3">
      <c r="D65" s="1" t="s">
        <v>24</v>
      </c>
    </row>
  </sheetData>
  <dataConsolidate/>
  <mergeCells count="9">
    <mergeCell ref="I59:J59"/>
    <mergeCell ref="I60:J60"/>
    <mergeCell ref="I61:J61"/>
    <mergeCell ref="D41:E41"/>
    <mergeCell ref="H41:I41"/>
    <mergeCell ref="D49:E49"/>
    <mergeCell ref="H49:I49"/>
    <mergeCell ref="I57:J57"/>
    <mergeCell ref="I58:J58"/>
  </mergeCells>
  <conditionalFormatting sqref="E43:E4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3:I4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1:E5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1:I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LCOE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 Jose</dc:creator>
  <cp:lastModifiedBy>Cia Jose</cp:lastModifiedBy>
  <dcterms:created xsi:type="dcterms:W3CDTF">2026-02-25T14:53:34Z</dcterms:created>
  <dcterms:modified xsi:type="dcterms:W3CDTF">2026-05-25T20:47:25Z</dcterms:modified>
</cp:coreProperties>
</file>