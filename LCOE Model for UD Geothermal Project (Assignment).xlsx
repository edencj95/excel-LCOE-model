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ia Jose\OneDrive\Desktop\Docs\Geothermal Energy economic feasibility\"/>
    </mc:Choice>
  </mc:AlternateContent>
  <bookViews>
    <workbookView xWindow="0" yWindow="0" windowWidth="9564" windowHeight="5928"/>
  </bookViews>
  <sheets>
    <sheet name="LCO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1" i="1" l="1"/>
  <c r="I60" i="1"/>
  <c r="I59" i="1"/>
  <c r="H61" i="1"/>
  <c r="H59" i="1"/>
  <c r="H60" i="1"/>
  <c r="I58" i="1"/>
  <c r="H58" i="1"/>
  <c r="I22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I18" i="1"/>
  <c r="F20" i="1"/>
  <c r="F22" i="1" s="1"/>
  <c r="F18" i="1"/>
  <c r="R18" i="1" s="1"/>
  <c r="L16" i="1"/>
  <c r="M16" i="1"/>
  <c r="N16" i="1" s="1"/>
  <c r="O16" i="1" s="1"/>
  <c r="P16" i="1" s="1"/>
  <c r="Q16" i="1" s="1"/>
  <c r="R16" i="1" s="1"/>
  <c r="S16" i="1" s="1"/>
  <c r="T16" i="1" s="1"/>
  <c r="U16" i="1" s="1"/>
  <c r="V16" i="1" s="1"/>
  <c r="W16" i="1" s="1"/>
  <c r="X16" i="1" s="1"/>
  <c r="Y16" i="1" s="1"/>
  <c r="Z16" i="1" s="1"/>
  <c r="AA16" i="1" s="1"/>
  <c r="AB16" i="1" s="1"/>
  <c r="AC16" i="1" s="1"/>
  <c r="AD16" i="1" s="1"/>
  <c r="AE16" i="1" s="1"/>
  <c r="AF16" i="1" s="1"/>
  <c r="AG16" i="1" s="1"/>
  <c r="AH16" i="1" s="1"/>
  <c r="K16" i="1"/>
  <c r="J16" i="1"/>
  <c r="AC18" i="1" l="1"/>
  <c r="AB18" i="1"/>
  <c r="AA18" i="1"/>
  <c r="Z18" i="1"/>
  <c r="O18" i="1"/>
  <c r="Q18" i="1"/>
  <c r="P18" i="1"/>
  <c r="N18" i="1"/>
  <c r="T18" i="1"/>
  <c r="Y18" i="1"/>
  <c r="X18" i="1"/>
  <c r="K18" i="1"/>
  <c r="AH18" i="1"/>
  <c r="V18" i="1"/>
  <c r="U18" i="1"/>
  <c r="AE18" i="1"/>
  <c r="S18" i="1"/>
  <c r="M18" i="1"/>
  <c r="L18" i="1"/>
  <c r="W18" i="1"/>
  <c r="J18" i="1"/>
  <c r="AG18" i="1"/>
  <c r="AF18" i="1"/>
  <c r="AD18" i="1"/>
  <c r="I20" i="1"/>
  <c r="G20" i="1" s="1"/>
  <c r="P22" i="1"/>
  <c r="AB22" i="1"/>
  <c r="Q22" i="1"/>
  <c r="AC22" i="1"/>
  <c r="R22" i="1"/>
  <c r="AD22" i="1"/>
  <c r="S22" i="1"/>
  <c r="AE22" i="1"/>
  <c r="AF22" i="1"/>
  <c r="U22" i="1"/>
  <c r="AG22" i="1"/>
  <c r="J22" i="1"/>
  <c r="V22" i="1"/>
  <c r="AH22" i="1"/>
  <c r="K22" i="1"/>
  <c r="L22" i="1"/>
  <c r="X22" i="1"/>
  <c r="M22" i="1"/>
  <c r="N22" i="1"/>
  <c r="Z22" i="1"/>
  <c r="T22" i="1"/>
  <c r="W22" i="1"/>
  <c r="Y22" i="1"/>
  <c r="O22" i="1"/>
  <c r="AA22" i="1"/>
  <c r="G18" i="1" l="1"/>
  <c r="G22" i="1"/>
  <c r="F28" i="1" l="1"/>
  <c r="I50" i="1" s="1"/>
  <c r="E42" i="1" l="1"/>
  <c r="F29" i="1"/>
  <c r="E50" i="1"/>
  <c r="I42" i="1"/>
</calcChain>
</file>

<file path=xl/sharedStrings.xml><?xml version="1.0" encoding="utf-8"?>
<sst xmlns="http://schemas.openxmlformats.org/spreadsheetml/2006/main" count="54" uniqueCount="46">
  <si>
    <t>LEVELISED COST OF ELECTRICITY (LCOE) MODEL FOR A GEOTHERMAL ENERGY PROJECT IN THE UK</t>
  </si>
  <si>
    <t>Inputs</t>
  </si>
  <si>
    <t>Installed Capacity</t>
  </si>
  <si>
    <t>MW</t>
  </si>
  <si>
    <t>Capacity Factor</t>
  </si>
  <si>
    <t>%</t>
  </si>
  <si>
    <t>Lifetime</t>
  </si>
  <si>
    <t>yrs</t>
  </si>
  <si>
    <t>WACC (Discount Rate)</t>
  </si>
  <si>
    <t>DEVEX</t>
  </si>
  <si>
    <t>Drilling Cost</t>
  </si>
  <si>
    <t>Surface Plant and Balance of Plant</t>
  </si>
  <si>
    <t>O&amp;M (as % of CAPEX)</t>
  </si>
  <si>
    <t>£</t>
  </si>
  <si>
    <t>Calculations</t>
  </si>
  <si>
    <t>Year</t>
  </si>
  <si>
    <t>Energy Generation</t>
  </si>
  <si>
    <t>MWh</t>
  </si>
  <si>
    <t>%/yr</t>
  </si>
  <si>
    <t>£/yr</t>
  </si>
  <si>
    <t>Total OPEX</t>
  </si>
  <si>
    <t>Total CAPEX</t>
  </si>
  <si>
    <t>Results</t>
  </si>
  <si>
    <t>Setup</t>
  </si>
  <si>
    <t>Hours</t>
  </si>
  <si>
    <t>hrs</t>
  </si>
  <si>
    <t>NPV</t>
  </si>
  <si>
    <t>LCOE</t>
  </si>
  <si>
    <t>£/MWh</t>
  </si>
  <si>
    <t>All input can be edited to test the model</t>
  </si>
  <si>
    <t>USD/MWh</t>
  </si>
  <si>
    <t>USD</t>
  </si>
  <si>
    <t>1 British Pound Sterling</t>
  </si>
  <si>
    <t>Sensitivity Analysis</t>
  </si>
  <si>
    <t>Unit (£ , £/MWh)</t>
  </si>
  <si>
    <t>Sensitivity of LCOE to CAPEX (Driling Cost)</t>
  </si>
  <si>
    <t>Sensitivity of LCOE to WACC</t>
  </si>
  <si>
    <t>Unit (%, £/MWh)</t>
  </si>
  <si>
    <t>Sensitivity of LCOE to OPEX</t>
  </si>
  <si>
    <t>Sensitivity of LCOE to Capacity Factor</t>
  </si>
  <si>
    <t>High Case Deviation</t>
  </si>
  <si>
    <t>Low Case Deviation</t>
  </si>
  <si>
    <t>WACC</t>
  </si>
  <si>
    <t>Opex</t>
  </si>
  <si>
    <t>Note</t>
  </si>
  <si>
    <t xml:space="preserve">All values are based on sources defined in the assignment document submitted. Any users can modify this document to test the values and see various configurations.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</si>
</sst>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43" formatCode="_-* #,##0.00_-;\-* #,##0.00_-;_-* &quot;-&quot;??_-;_-@_-"/>
    <numFmt numFmtId="169" formatCode="&quot;AED&quot;#,##0.00"/>
    <numFmt numFmtId="172" formatCode="0.0%"/>
  </numFmts>
  <fonts count="1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sz val="11"/>
      <color theme="0" tint="-0.499984740745262"/>
      <name val="Calibri"/>
      <family val="2"/>
      <charset val="1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0"/>
      <name val="Calibri Light"/>
      <family val="2"/>
      <scheme val="major"/>
    </font>
    <font>
      <b/>
      <sz val="13"/>
      <color rgb="FFFF0000"/>
      <name val="Calibri"/>
      <family val="2"/>
      <charset val="1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80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B2B2B2"/>
      </right>
      <top style="thin">
        <color indexed="64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indexed="64"/>
      </top>
      <bottom style="thin">
        <color rgb="FFB2B2B2"/>
      </bottom>
      <diagonal/>
    </border>
    <border>
      <left style="thin">
        <color rgb="FFB2B2B2"/>
      </left>
      <right style="thin">
        <color indexed="64"/>
      </right>
      <top style="thin">
        <color indexed="64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3" applyNumberFormat="0" applyAlignment="0" applyProtection="0"/>
    <xf numFmtId="0" fontId="10" fillId="6" borderId="3" applyNumberFormat="0" applyAlignment="0" applyProtection="0"/>
    <xf numFmtId="0" fontId="1" fillId="7" borderId="5" applyNumberFormat="0" applyFont="0" applyAlignment="0" applyProtection="0"/>
    <xf numFmtId="0" fontId="11" fillId="0" borderId="0" applyNumberFormat="0" applyFill="0" applyBorder="0" applyAlignment="0" applyProtection="0"/>
  </cellStyleXfs>
  <cellXfs count="61">
    <xf numFmtId="0" fontId="0" fillId="0" borderId="0" xfId="0"/>
    <xf numFmtId="0" fontId="11" fillId="0" borderId="0" xfId="13"/>
    <xf numFmtId="0" fontId="3" fillId="0" borderId="1" xfId="5"/>
    <xf numFmtId="0" fontId="12" fillId="0" borderId="0" xfId="0" applyFont="1"/>
    <xf numFmtId="169" fontId="12" fillId="0" borderId="0" xfId="0" applyNumberFormat="1" applyFont="1"/>
    <xf numFmtId="0" fontId="8" fillId="5" borderId="3" xfId="10"/>
    <xf numFmtId="9" fontId="8" fillId="5" borderId="3" xfId="10" applyNumberFormat="1"/>
    <xf numFmtId="3" fontId="8" fillId="5" borderId="3" xfId="10" applyNumberFormat="1"/>
    <xf numFmtId="172" fontId="8" fillId="5" borderId="3" xfId="10" applyNumberFormat="1"/>
    <xf numFmtId="41" fontId="10" fillId="6" borderId="3" xfId="11" applyNumberFormat="1"/>
    <xf numFmtId="3" fontId="10" fillId="6" borderId="3" xfId="11" applyNumberFormat="1"/>
    <xf numFmtId="0" fontId="13" fillId="8" borderId="0" xfId="0" applyFont="1" applyFill="1" applyAlignment="1">
      <alignment horizontal="center"/>
    </xf>
    <xf numFmtId="0" fontId="14" fillId="0" borderId="0" xfId="0" applyFont="1"/>
    <xf numFmtId="41" fontId="9" fillId="6" borderId="4" xfId="2" applyFont="1" applyFill="1" applyBorder="1"/>
    <xf numFmtId="43" fontId="9" fillId="6" borderId="4" xfId="1" applyFont="1" applyFill="1" applyBorder="1"/>
    <xf numFmtId="0" fontId="0" fillId="7" borderId="7" xfId="12" applyFont="1" applyBorder="1" applyAlignment="1">
      <alignment horizontal="center" vertical="center"/>
    </xf>
    <xf numFmtId="0" fontId="0" fillId="7" borderId="8" xfId="12" applyFont="1" applyBorder="1" applyAlignment="1">
      <alignment horizontal="center" vertical="center"/>
    </xf>
    <xf numFmtId="0" fontId="0" fillId="7" borderId="9" xfId="12" applyFont="1" applyBorder="1" applyAlignment="1">
      <alignment horizontal="center" vertical="center"/>
    </xf>
    <xf numFmtId="0" fontId="0" fillId="0" borderId="10" xfId="0" applyBorder="1"/>
    <xf numFmtId="0" fontId="0" fillId="0" borderId="0" xfId="0" applyBorder="1"/>
    <xf numFmtId="0" fontId="0" fillId="0" borderId="11" xfId="0" applyBorder="1"/>
    <xf numFmtId="41" fontId="0" fillId="0" borderId="10" xfId="2" applyFont="1" applyBorder="1"/>
    <xf numFmtId="41" fontId="0" fillId="0" borderId="0" xfId="2" applyFont="1" applyBorder="1"/>
    <xf numFmtId="41" fontId="0" fillId="0" borderId="11" xfId="2" applyFont="1" applyBorder="1"/>
    <xf numFmtId="41" fontId="0" fillId="0" borderId="12" xfId="2" applyFont="1" applyBorder="1"/>
    <xf numFmtId="41" fontId="0" fillId="0" borderId="13" xfId="2" applyFont="1" applyBorder="1"/>
    <xf numFmtId="41" fontId="0" fillId="0" borderId="14" xfId="2" applyFont="1" applyBorder="1"/>
    <xf numFmtId="0" fontId="12" fillId="7" borderId="5" xfId="12" applyFont="1"/>
    <xf numFmtId="43" fontId="0" fillId="7" borderId="5" xfId="12" applyNumberFormat="1" applyFont="1"/>
    <xf numFmtId="0" fontId="0" fillId="9" borderId="0" xfId="0" applyFill="1"/>
    <xf numFmtId="0" fontId="12" fillId="9" borderId="0" xfId="0" applyFont="1" applyFill="1"/>
    <xf numFmtId="0" fontId="15" fillId="10" borderId="0" xfId="4" applyFont="1" applyFill="1"/>
    <xf numFmtId="0" fontId="16" fillId="10" borderId="0" xfId="0" applyFont="1" applyFill="1"/>
    <xf numFmtId="0" fontId="17" fillId="9" borderId="0" xfId="4" applyFont="1" applyFill="1"/>
    <xf numFmtId="0" fontId="0" fillId="0" borderId="6" xfId="0" applyBorder="1"/>
    <xf numFmtId="0" fontId="0" fillId="0" borderId="6" xfId="0" applyFont="1" applyBorder="1"/>
    <xf numFmtId="43" fontId="0" fillId="0" borderId="6" xfId="0" applyNumberFormat="1" applyFont="1" applyBorder="1"/>
    <xf numFmtId="41" fontId="0" fillId="0" borderId="6" xfId="2" applyFont="1" applyBorder="1"/>
    <xf numFmtId="43" fontId="5" fillId="2" borderId="6" xfId="7" applyNumberFormat="1" applyBorder="1"/>
    <xf numFmtId="43" fontId="7" fillId="4" borderId="6" xfId="9" applyNumberFormat="1" applyBorder="1"/>
    <xf numFmtId="43" fontId="6" fillId="3" borderId="6" xfId="8" applyNumberFormat="1" applyBorder="1"/>
    <xf numFmtId="0" fontId="13" fillId="11" borderId="6" xfId="0" applyFont="1" applyFill="1" applyBorder="1" applyAlignment="1">
      <alignment horizontal="center" vertical="center"/>
    </xf>
    <xf numFmtId="43" fontId="0" fillId="0" borderId="6" xfId="0" applyNumberFormat="1" applyBorder="1"/>
    <xf numFmtId="9" fontId="0" fillId="0" borderId="6" xfId="3" applyFont="1" applyBorder="1"/>
    <xf numFmtId="0" fontId="13" fillId="13" borderId="6" xfId="0" applyFont="1" applyFill="1" applyBorder="1" applyAlignment="1">
      <alignment horizontal="center" vertical="center"/>
    </xf>
    <xf numFmtId="41" fontId="0" fillId="0" borderId="6" xfId="2" applyFont="1" applyFill="1" applyBorder="1"/>
    <xf numFmtId="43" fontId="5" fillId="2" borderId="6" xfId="1" applyFont="1" applyFill="1" applyBorder="1"/>
    <xf numFmtId="43" fontId="7" fillId="4" borderId="6" xfId="1" applyFont="1" applyFill="1" applyBorder="1"/>
    <xf numFmtId="43" fontId="6" fillId="3" borderId="6" xfId="1" applyFont="1" applyFill="1" applyBorder="1"/>
    <xf numFmtId="0" fontId="13" fillId="14" borderId="15" xfId="0" applyFont="1" applyFill="1" applyBorder="1" applyAlignment="1">
      <alignment horizontal="center"/>
    </xf>
    <xf numFmtId="0" fontId="13" fillId="14" borderId="16" xfId="0" applyFont="1" applyFill="1" applyBorder="1" applyAlignment="1">
      <alignment horizontal="center"/>
    </xf>
    <xf numFmtId="10" fontId="0" fillId="0" borderId="6" xfId="0" applyNumberFormat="1" applyFont="1" applyBorder="1"/>
    <xf numFmtId="9" fontId="0" fillId="0" borderId="6" xfId="0" applyNumberFormat="1" applyFont="1" applyBorder="1"/>
    <xf numFmtId="0" fontId="13" fillId="12" borderId="15" xfId="0" applyFont="1" applyFill="1" applyBorder="1" applyAlignment="1">
      <alignment horizontal="center"/>
    </xf>
    <xf numFmtId="0" fontId="13" fillId="12" borderId="16" xfId="0" applyFont="1" applyFill="1" applyBorder="1" applyAlignment="1">
      <alignment horizontal="center"/>
    </xf>
    <xf numFmtId="0" fontId="13" fillId="8" borderId="6" xfId="0" applyFont="1" applyFill="1" applyBorder="1" applyAlignment="1">
      <alignment horizontal="center" vertical="center"/>
    </xf>
    <xf numFmtId="0" fontId="13" fillId="8" borderId="6" xfId="0" applyFont="1" applyFill="1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2" fontId="0" fillId="0" borderId="6" xfId="1" applyNumberFormat="1" applyFont="1" applyBorder="1" applyAlignment="1">
      <alignment horizontal="center"/>
    </xf>
    <xf numFmtId="2" fontId="0" fillId="0" borderId="6" xfId="0" applyNumberFormat="1" applyBorder="1"/>
    <xf numFmtId="0" fontId="18" fillId="0" borderId="2" xfId="6" applyFont="1"/>
  </cellXfs>
  <cellStyles count="14">
    <cellStyle name="Bad" xfId="8" builtinId="27"/>
    <cellStyle name="Calculation" xfId="11" builtinId="22"/>
    <cellStyle name="Comma" xfId="1" builtinId="3"/>
    <cellStyle name="Comma [0]" xfId="2" builtinId="6"/>
    <cellStyle name="Explanatory Text" xfId="13" builtinId="53"/>
    <cellStyle name="Good" xfId="7" builtinId="26"/>
    <cellStyle name="Heading 1" xfId="5" builtinId="16"/>
    <cellStyle name="Heading 2" xfId="6" builtinId="17"/>
    <cellStyle name="Input" xfId="10" builtinId="20"/>
    <cellStyle name="Neutral" xfId="9" builtinId="28"/>
    <cellStyle name="Normal" xfId="0" builtinId="0"/>
    <cellStyle name="Note" xfId="12" builtinId="10"/>
    <cellStyle name="Percent" xfId="3" builtinId="5"/>
    <cellStyle name="Title" xfId="4" builtinId="15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Sensitivity of</a:t>
            </a:r>
            <a:r>
              <a:rPr lang="en-US" b="1" baseline="0"/>
              <a:t> LCOE to Key Inputs</a:t>
            </a:r>
          </a:p>
          <a:p>
            <a:pPr>
              <a:defRPr/>
            </a:pPr>
            <a:r>
              <a:rPr lang="en-US" sz="1200" baseline="0"/>
              <a:t>(expressed as deviation from base case LCOE = </a:t>
            </a:r>
            <a:r>
              <a:rPr lang="en-US" sz="1400" b="0" i="0" u="none" strike="noStrike" baseline="0">
                <a:effectLst/>
              </a:rPr>
              <a:t>£</a:t>
            </a:r>
            <a:r>
              <a:rPr lang="en-US" sz="1200" baseline="0"/>
              <a:t>144.01 /MWh)</a:t>
            </a:r>
            <a:endParaRPr lang="en-US" sz="12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1"/>
          <c:order val="1"/>
          <c:tx>
            <c:strRef>
              <c:f>LCOE!$I$57</c:f>
              <c:strCache>
                <c:ptCount val="1"/>
                <c:pt idx="0">
                  <c:v>Low Case Deviation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layout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LCOE!$G$58:$G$61</c:f>
              <c:strCache>
                <c:ptCount val="4"/>
                <c:pt idx="0">
                  <c:v>WACC</c:v>
                </c:pt>
                <c:pt idx="1">
                  <c:v>Capacity Factor</c:v>
                </c:pt>
                <c:pt idx="2">
                  <c:v>Drilling Cost</c:v>
                </c:pt>
                <c:pt idx="3">
                  <c:v>Opex</c:v>
                </c:pt>
              </c:strCache>
            </c:strRef>
          </c:cat>
          <c:val>
            <c:numRef>
              <c:f>LCOE!$I$58:$I$61</c:f>
              <c:numCache>
                <c:formatCode>0.00</c:formatCode>
                <c:ptCount val="4"/>
                <c:pt idx="0">
                  <c:v>-34.031883994555244</c:v>
                </c:pt>
                <c:pt idx="1">
                  <c:v>0</c:v>
                </c:pt>
                <c:pt idx="2">
                  <c:v>-16.891948459219137</c:v>
                </c:pt>
                <c:pt idx="3">
                  <c:v>-10.654490106544898</c:v>
                </c:pt>
              </c:numCache>
            </c:numRef>
          </c:val>
        </c:ser>
        <c:ser>
          <c:idx val="2"/>
          <c:order val="2"/>
          <c:tx>
            <c:strRef>
              <c:f>LCOE!$J$57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LCOE!$G$58:$G$61</c:f>
              <c:strCache>
                <c:ptCount val="4"/>
                <c:pt idx="0">
                  <c:v>WACC</c:v>
                </c:pt>
                <c:pt idx="1">
                  <c:v>Capacity Factor</c:v>
                </c:pt>
                <c:pt idx="2">
                  <c:v>Drilling Cost</c:v>
                </c:pt>
                <c:pt idx="3">
                  <c:v>Opex</c:v>
                </c:pt>
              </c:strCache>
            </c:strRef>
          </c:cat>
          <c:val>
            <c:numRef>
              <c:f>LCOE!$J$58:$J$61</c:f>
              <c:numCache>
                <c:formatCode>0.00</c:formatCode>
                <c:ptCount val="4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069113568"/>
        <c:axId val="1069115200"/>
      </c:barChart>
      <c:barChart>
        <c:barDir val="bar"/>
        <c:grouping val="stacked"/>
        <c:varyColors val="0"/>
        <c:ser>
          <c:idx val="0"/>
          <c:order val="0"/>
          <c:tx>
            <c:strRef>
              <c:f>LCOE!$H$57</c:f>
              <c:strCache>
                <c:ptCount val="1"/>
                <c:pt idx="0">
                  <c:v>High Case Deviation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LCOE!$G$58:$G$61</c:f>
              <c:strCache>
                <c:ptCount val="4"/>
                <c:pt idx="0">
                  <c:v>WACC</c:v>
                </c:pt>
                <c:pt idx="1">
                  <c:v>Capacity Factor</c:v>
                </c:pt>
                <c:pt idx="2">
                  <c:v>Drilling Cost</c:v>
                </c:pt>
                <c:pt idx="3">
                  <c:v>Opex</c:v>
                </c:pt>
              </c:strCache>
            </c:strRef>
          </c:cat>
          <c:val>
            <c:numRef>
              <c:f>LCOE!$H$58:$H$61</c:f>
              <c:numCache>
                <c:formatCode>0.00</c:formatCode>
                <c:ptCount val="4"/>
                <c:pt idx="0">
                  <c:v>37.642671267970428</c:v>
                </c:pt>
                <c:pt idx="1">
                  <c:v>16.942904563168526</c:v>
                </c:pt>
                <c:pt idx="2">
                  <c:v>16.891948459219151</c:v>
                </c:pt>
                <c:pt idx="3">
                  <c:v>10.654490106544927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984588752"/>
        <c:axId val="984570800"/>
      </c:barChart>
      <c:catAx>
        <c:axId val="1069113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115200"/>
        <c:crosses val="autoZero"/>
        <c:auto val="1"/>
        <c:lblAlgn val="ctr"/>
        <c:lblOffset val="100"/>
        <c:noMultiLvlLbl val="0"/>
      </c:catAx>
      <c:valAx>
        <c:axId val="1069115200"/>
        <c:scaling>
          <c:orientation val="minMax"/>
          <c:max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113568"/>
        <c:crosses val="autoZero"/>
        <c:crossBetween val="between"/>
      </c:valAx>
      <c:valAx>
        <c:axId val="984570800"/>
        <c:scaling>
          <c:orientation val="minMax"/>
          <c:max val="40"/>
          <c:min val="-40"/>
        </c:scaling>
        <c:delete val="0"/>
        <c:axPos val="t"/>
        <c:numFmt formatCode="0.00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588752"/>
        <c:crosses val="max"/>
        <c:crossBetween val="between"/>
      </c:valAx>
      <c:catAx>
        <c:axId val="98458875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98457080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22860</xdr:colOff>
      <xdr:row>41</xdr:row>
      <xdr:rowOff>179070</xdr:rowOff>
    </xdr:from>
    <xdr:to>
      <xdr:col>20</xdr:col>
      <xdr:colOff>281940</xdr:colOff>
      <xdr:row>57</xdr:row>
      <xdr:rowOff>7620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65"/>
  <sheetViews>
    <sheetView tabSelected="1" zoomScaleNormal="100" workbookViewId="0">
      <pane ySplit="1" topLeftCell="A38" activePane="bottomLeft" state="frozen"/>
      <selection pane="bottomLeft" activeCell="H28" sqref="H28"/>
    </sheetView>
  </sheetViews>
  <sheetFormatPr defaultRowHeight="14.4" x14ac:dyDescent="0.3"/>
  <cols>
    <col min="1" max="3" width="1.77734375" customWidth="1"/>
    <col min="4" max="4" width="29.21875" customWidth="1"/>
    <col min="5" max="5" width="8.88671875" style="3"/>
    <col min="6" max="6" width="13.33203125" customWidth="1"/>
    <col min="7" max="7" width="14.44140625" customWidth="1"/>
    <col min="8" max="8" width="21.44140625" customWidth="1"/>
    <col min="9" max="9" width="11.21875" bestFit="1" customWidth="1"/>
    <col min="10" max="34" width="9" bestFit="1" customWidth="1"/>
  </cols>
  <sheetData>
    <row r="1" spans="1:34" ht="23.4" x14ac:dyDescent="0.45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</row>
    <row r="4" spans="1:34" ht="20.399999999999999" thickBot="1" x14ac:dyDescent="0.45">
      <c r="A4" s="2" t="s">
        <v>1</v>
      </c>
    </row>
    <row r="5" spans="1:34" ht="15" thickTop="1" x14ac:dyDescent="0.3">
      <c r="D5" t="s">
        <v>2</v>
      </c>
      <c r="E5" s="3" t="s">
        <v>3</v>
      </c>
      <c r="F5" s="5">
        <v>3</v>
      </c>
    </row>
    <row r="6" spans="1:34" x14ac:dyDescent="0.3">
      <c r="D6" t="s">
        <v>4</v>
      </c>
      <c r="E6" s="3" t="s">
        <v>5</v>
      </c>
      <c r="F6" s="6">
        <v>0.95</v>
      </c>
    </row>
    <row r="7" spans="1:34" x14ac:dyDescent="0.3">
      <c r="D7" t="s">
        <v>6</v>
      </c>
      <c r="E7" s="3" t="s">
        <v>7</v>
      </c>
      <c r="F7" s="5">
        <v>25</v>
      </c>
    </row>
    <row r="8" spans="1:34" x14ac:dyDescent="0.3">
      <c r="D8" t="s">
        <v>8</v>
      </c>
      <c r="E8" s="3" t="s">
        <v>5</v>
      </c>
      <c r="F8" s="6">
        <v>0.1</v>
      </c>
    </row>
    <row r="9" spans="1:34" x14ac:dyDescent="0.3">
      <c r="D9" t="s">
        <v>10</v>
      </c>
      <c r="E9" s="4" t="s">
        <v>13</v>
      </c>
      <c r="F9" s="7">
        <v>15600000</v>
      </c>
    </row>
    <row r="10" spans="1:34" x14ac:dyDescent="0.3">
      <c r="D10" t="s">
        <v>11</v>
      </c>
      <c r="E10" s="4" t="s">
        <v>13</v>
      </c>
      <c r="F10" s="7">
        <v>10000000</v>
      </c>
    </row>
    <row r="11" spans="1:34" x14ac:dyDescent="0.3">
      <c r="D11" t="s">
        <v>9</v>
      </c>
      <c r="E11" s="4" t="s">
        <v>13</v>
      </c>
      <c r="F11" s="7">
        <v>1000000</v>
      </c>
    </row>
    <row r="12" spans="1:34" x14ac:dyDescent="0.3">
      <c r="D12" t="s">
        <v>12</v>
      </c>
      <c r="E12" s="3" t="s">
        <v>18</v>
      </c>
      <c r="F12" s="8">
        <v>2.5000000000000001E-2</v>
      </c>
    </row>
    <row r="13" spans="1:34" x14ac:dyDescent="0.3">
      <c r="D13" s="1" t="s">
        <v>29</v>
      </c>
    </row>
    <row r="15" spans="1:34" ht="20.399999999999999" thickBot="1" x14ac:dyDescent="0.45">
      <c r="A15" s="2" t="s">
        <v>14</v>
      </c>
    </row>
    <row r="16" spans="1:34" ht="15" thickTop="1" x14ac:dyDescent="0.3">
      <c r="D16" s="12" t="s">
        <v>15</v>
      </c>
      <c r="I16" s="15">
        <v>0</v>
      </c>
      <c r="J16" s="16">
        <f>I16+1</f>
        <v>1</v>
      </c>
      <c r="K16" s="16">
        <f>J16+1</f>
        <v>2</v>
      </c>
      <c r="L16" s="16">
        <f t="shared" ref="L16:AS16" si="0">K16+1</f>
        <v>3</v>
      </c>
      <c r="M16" s="16">
        <f t="shared" si="0"/>
        <v>4</v>
      </c>
      <c r="N16" s="16">
        <f t="shared" si="0"/>
        <v>5</v>
      </c>
      <c r="O16" s="16">
        <f t="shared" si="0"/>
        <v>6</v>
      </c>
      <c r="P16" s="16">
        <f t="shared" si="0"/>
        <v>7</v>
      </c>
      <c r="Q16" s="16">
        <f t="shared" si="0"/>
        <v>8</v>
      </c>
      <c r="R16" s="16">
        <f t="shared" si="0"/>
        <v>9</v>
      </c>
      <c r="S16" s="16">
        <f t="shared" si="0"/>
        <v>10</v>
      </c>
      <c r="T16" s="16">
        <f t="shared" si="0"/>
        <v>11</v>
      </c>
      <c r="U16" s="16">
        <f t="shared" si="0"/>
        <v>12</v>
      </c>
      <c r="V16" s="16">
        <f t="shared" si="0"/>
        <v>13</v>
      </c>
      <c r="W16" s="16">
        <f t="shared" si="0"/>
        <v>14</v>
      </c>
      <c r="X16" s="16">
        <f t="shared" si="0"/>
        <v>15</v>
      </c>
      <c r="Y16" s="16">
        <f t="shared" si="0"/>
        <v>16</v>
      </c>
      <c r="Z16" s="16">
        <f t="shared" si="0"/>
        <v>17</v>
      </c>
      <c r="AA16" s="16">
        <f t="shared" si="0"/>
        <v>18</v>
      </c>
      <c r="AB16" s="16">
        <f t="shared" si="0"/>
        <v>19</v>
      </c>
      <c r="AC16" s="16">
        <f t="shared" si="0"/>
        <v>20</v>
      </c>
      <c r="AD16" s="16">
        <f t="shared" si="0"/>
        <v>21</v>
      </c>
      <c r="AE16" s="16">
        <f t="shared" si="0"/>
        <v>22</v>
      </c>
      <c r="AF16" s="16">
        <f t="shared" si="0"/>
        <v>23</v>
      </c>
      <c r="AG16" s="16">
        <f t="shared" si="0"/>
        <v>24</v>
      </c>
      <c r="AH16" s="17">
        <f t="shared" si="0"/>
        <v>25</v>
      </c>
    </row>
    <row r="17" spans="1:34" x14ac:dyDescent="0.3">
      <c r="G17" s="11" t="s">
        <v>26</v>
      </c>
      <c r="I17" s="18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20"/>
    </row>
    <row r="18" spans="1:34" x14ac:dyDescent="0.3">
      <c r="D18" s="12" t="s">
        <v>16</v>
      </c>
      <c r="E18" s="3" t="s">
        <v>17</v>
      </c>
      <c r="F18" s="9">
        <f>F5*F6*F33</f>
        <v>24965.999999999996</v>
      </c>
      <c r="G18" s="13">
        <f>NPV($F$8,J18:AH18)+I18</f>
        <v>226617.38109511396</v>
      </c>
      <c r="I18" s="21">
        <f>IF(I$16=0,0,$F18)</f>
        <v>0</v>
      </c>
      <c r="J18" s="22">
        <f t="shared" ref="J18:AH18" si="1">IF(J$16=0,0,$F18)</f>
        <v>24965.999999999996</v>
      </c>
      <c r="K18" s="22">
        <f t="shared" si="1"/>
        <v>24965.999999999996</v>
      </c>
      <c r="L18" s="22">
        <f t="shared" si="1"/>
        <v>24965.999999999996</v>
      </c>
      <c r="M18" s="22">
        <f t="shared" si="1"/>
        <v>24965.999999999996</v>
      </c>
      <c r="N18" s="22">
        <f t="shared" si="1"/>
        <v>24965.999999999996</v>
      </c>
      <c r="O18" s="22">
        <f t="shared" si="1"/>
        <v>24965.999999999996</v>
      </c>
      <c r="P18" s="22">
        <f t="shared" si="1"/>
        <v>24965.999999999996</v>
      </c>
      <c r="Q18" s="22">
        <f t="shared" si="1"/>
        <v>24965.999999999996</v>
      </c>
      <c r="R18" s="22">
        <f t="shared" si="1"/>
        <v>24965.999999999996</v>
      </c>
      <c r="S18" s="22">
        <f t="shared" si="1"/>
        <v>24965.999999999996</v>
      </c>
      <c r="T18" s="22">
        <f t="shared" si="1"/>
        <v>24965.999999999996</v>
      </c>
      <c r="U18" s="22">
        <f t="shared" si="1"/>
        <v>24965.999999999996</v>
      </c>
      <c r="V18" s="22">
        <f t="shared" si="1"/>
        <v>24965.999999999996</v>
      </c>
      <c r="W18" s="22">
        <f t="shared" si="1"/>
        <v>24965.999999999996</v>
      </c>
      <c r="X18" s="22">
        <f t="shared" si="1"/>
        <v>24965.999999999996</v>
      </c>
      <c r="Y18" s="22">
        <f t="shared" si="1"/>
        <v>24965.999999999996</v>
      </c>
      <c r="Z18" s="22">
        <f t="shared" si="1"/>
        <v>24965.999999999996</v>
      </c>
      <c r="AA18" s="22">
        <f t="shared" si="1"/>
        <v>24965.999999999996</v>
      </c>
      <c r="AB18" s="22">
        <f t="shared" si="1"/>
        <v>24965.999999999996</v>
      </c>
      <c r="AC18" s="22">
        <f t="shared" si="1"/>
        <v>24965.999999999996</v>
      </c>
      <c r="AD18" s="22">
        <f t="shared" si="1"/>
        <v>24965.999999999996</v>
      </c>
      <c r="AE18" s="22">
        <f t="shared" si="1"/>
        <v>24965.999999999996</v>
      </c>
      <c r="AF18" s="22">
        <f t="shared" si="1"/>
        <v>24965.999999999996</v>
      </c>
      <c r="AG18" s="22">
        <f t="shared" si="1"/>
        <v>24965.999999999996</v>
      </c>
      <c r="AH18" s="23">
        <f t="shared" si="1"/>
        <v>24965.999999999996</v>
      </c>
    </row>
    <row r="19" spans="1:34" x14ac:dyDescent="0.3">
      <c r="I19" s="21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3"/>
    </row>
    <row r="20" spans="1:34" x14ac:dyDescent="0.3">
      <c r="D20" s="12" t="s">
        <v>21</v>
      </c>
      <c r="E20" s="4" t="s">
        <v>13</v>
      </c>
      <c r="F20" s="10">
        <f>F9+F10+F11</f>
        <v>26600000</v>
      </c>
      <c r="G20" s="13">
        <f>NPV($F$8,J20:AH20)+I20</f>
        <v>26600000</v>
      </c>
      <c r="I20" s="21">
        <f>IF(I$16=0,$F20,0)</f>
        <v>26600000</v>
      </c>
      <c r="J20" s="22">
        <f t="shared" ref="J20:AH20" si="2">IF(J$16=0,$F20,0)</f>
        <v>0</v>
      </c>
      <c r="K20" s="22">
        <f t="shared" si="2"/>
        <v>0</v>
      </c>
      <c r="L20" s="22">
        <f t="shared" si="2"/>
        <v>0</v>
      </c>
      <c r="M20" s="22">
        <f t="shared" si="2"/>
        <v>0</v>
      </c>
      <c r="N20" s="22">
        <f t="shared" si="2"/>
        <v>0</v>
      </c>
      <c r="O20" s="22">
        <f t="shared" si="2"/>
        <v>0</v>
      </c>
      <c r="P20" s="22">
        <f t="shared" si="2"/>
        <v>0</v>
      </c>
      <c r="Q20" s="22">
        <f t="shared" si="2"/>
        <v>0</v>
      </c>
      <c r="R20" s="22">
        <f t="shared" si="2"/>
        <v>0</v>
      </c>
      <c r="S20" s="22">
        <f t="shared" si="2"/>
        <v>0</v>
      </c>
      <c r="T20" s="22">
        <f t="shared" si="2"/>
        <v>0</v>
      </c>
      <c r="U20" s="22">
        <f t="shared" si="2"/>
        <v>0</v>
      </c>
      <c r="V20" s="22">
        <f t="shared" si="2"/>
        <v>0</v>
      </c>
      <c r="W20" s="22">
        <f t="shared" si="2"/>
        <v>0</v>
      </c>
      <c r="X20" s="22">
        <f t="shared" si="2"/>
        <v>0</v>
      </c>
      <c r="Y20" s="22">
        <f t="shared" si="2"/>
        <v>0</v>
      </c>
      <c r="Z20" s="22">
        <f t="shared" si="2"/>
        <v>0</v>
      </c>
      <c r="AA20" s="22">
        <f t="shared" si="2"/>
        <v>0</v>
      </c>
      <c r="AB20" s="22">
        <f t="shared" si="2"/>
        <v>0</v>
      </c>
      <c r="AC20" s="22">
        <f t="shared" si="2"/>
        <v>0</v>
      </c>
      <c r="AD20" s="22">
        <f t="shared" si="2"/>
        <v>0</v>
      </c>
      <c r="AE20" s="22">
        <f t="shared" si="2"/>
        <v>0</v>
      </c>
      <c r="AF20" s="22">
        <f t="shared" si="2"/>
        <v>0</v>
      </c>
      <c r="AG20" s="22">
        <f t="shared" si="2"/>
        <v>0</v>
      </c>
      <c r="AH20" s="23">
        <f t="shared" si="2"/>
        <v>0</v>
      </c>
    </row>
    <row r="21" spans="1:34" x14ac:dyDescent="0.3">
      <c r="I21" s="21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3"/>
    </row>
    <row r="22" spans="1:34" x14ac:dyDescent="0.3">
      <c r="D22" s="12" t="s">
        <v>20</v>
      </c>
      <c r="E22" s="4" t="s">
        <v>19</v>
      </c>
      <c r="F22" s="9">
        <f>F12*F20</f>
        <v>665000</v>
      </c>
      <c r="G22" s="13">
        <f>NPV($F$8,J22:AH22)+I22</f>
        <v>6036231.6121225171</v>
      </c>
      <c r="I22" s="24">
        <f>IF(I$16=0,0,$F22)</f>
        <v>0</v>
      </c>
      <c r="J22" s="25">
        <f t="shared" ref="J22:AH22" si="3">IF(J$16=0,0,$F22)</f>
        <v>665000</v>
      </c>
      <c r="K22" s="25">
        <f t="shared" si="3"/>
        <v>665000</v>
      </c>
      <c r="L22" s="25">
        <f t="shared" si="3"/>
        <v>665000</v>
      </c>
      <c r="M22" s="25">
        <f t="shared" si="3"/>
        <v>665000</v>
      </c>
      <c r="N22" s="25">
        <f t="shared" si="3"/>
        <v>665000</v>
      </c>
      <c r="O22" s="25">
        <f t="shared" si="3"/>
        <v>665000</v>
      </c>
      <c r="P22" s="25">
        <f t="shared" si="3"/>
        <v>665000</v>
      </c>
      <c r="Q22" s="25">
        <f t="shared" si="3"/>
        <v>665000</v>
      </c>
      <c r="R22" s="25">
        <f t="shared" si="3"/>
        <v>665000</v>
      </c>
      <c r="S22" s="25">
        <f t="shared" si="3"/>
        <v>665000</v>
      </c>
      <c r="T22" s="25">
        <f t="shared" si="3"/>
        <v>665000</v>
      </c>
      <c r="U22" s="25">
        <f t="shared" si="3"/>
        <v>665000</v>
      </c>
      <c r="V22" s="25">
        <f t="shared" si="3"/>
        <v>665000</v>
      </c>
      <c r="W22" s="25">
        <f t="shared" si="3"/>
        <v>665000</v>
      </c>
      <c r="X22" s="25">
        <f t="shared" si="3"/>
        <v>665000</v>
      </c>
      <c r="Y22" s="25">
        <f t="shared" si="3"/>
        <v>665000</v>
      </c>
      <c r="Z22" s="25">
        <f t="shared" si="3"/>
        <v>665000</v>
      </c>
      <c r="AA22" s="25">
        <f t="shared" si="3"/>
        <v>665000</v>
      </c>
      <c r="AB22" s="25">
        <f t="shared" si="3"/>
        <v>665000</v>
      </c>
      <c r="AC22" s="25">
        <f t="shared" si="3"/>
        <v>665000</v>
      </c>
      <c r="AD22" s="25">
        <f t="shared" si="3"/>
        <v>665000</v>
      </c>
      <c r="AE22" s="25">
        <f t="shared" si="3"/>
        <v>665000</v>
      </c>
      <c r="AF22" s="25">
        <f t="shared" si="3"/>
        <v>665000</v>
      </c>
      <c r="AG22" s="25">
        <f t="shared" si="3"/>
        <v>665000</v>
      </c>
      <c r="AH22" s="26">
        <f t="shared" si="3"/>
        <v>665000</v>
      </c>
    </row>
    <row r="26" spans="1:34" ht="20.399999999999999" thickBot="1" x14ac:dyDescent="0.45">
      <c r="A26" s="2" t="s">
        <v>22</v>
      </c>
    </row>
    <row r="27" spans="1:34" ht="15" thickTop="1" x14ac:dyDescent="0.3"/>
    <row r="28" spans="1:34" x14ac:dyDescent="0.3">
      <c r="D28" s="12" t="s">
        <v>27</v>
      </c>
      <c r="E28" s="4" t="s">
        <v>28</v>
      </c>
      <c r="F28" s="14">
        <f>SUM(G20,G22)/G18</f>
        <v>144.01468878693251</v>
      </c>
    </row>
    <row r="29" spans="1:34" x14ac:dyDescent="0.3">
      <c r="E29" s="27" t="s">
        <v>30</v>
      </c>
      <c r="F29" s="28">
        <f>F28*F34</f>
        <v>194.41982986235891</v>
      </c>
    </row>
    <row r="32" spans="1:34" ht="20.399999999999999" thickBot="1" x14ac:dyDescent="0.45">
      <c r="A32" s="2" t="s">
        <v>23</v>
      </c>
    </row>
    <row r="33" spans="1:34" ht="15" thickTop="1" x14ac:dyDescent="0.3">
      <c r="D33" t="s">
        <v>24</v>
      </c>
      <c r="E33" s="3" t="s">
        <v>25</v>
      </c>
      <c r="F33">
        <v>8760</v>
      </c>
    </row>
    <row r="34" spans="1:34" x14ac:dyDescent="0.3">
      <c r="D34" t="s">
        <v>32</v>
      </c>
      <c r="E34" s="3" t="s">
        <v>31</v>
      </c>
      <c r="F34">
        <v>1.35</v>
      </c>
    </row>
    <row r="37" spans="1:34" ht="23.4" x14ac:dyDescent="0.45">
      <c r="A37" s="33" t="s">
        <v>33</v>
      </c>
      <c r="B37" s="29"/>
      <c r="C37" s="29"/>
      <c r="D37" s="29"/>
      <c r="E37" s="30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</row>
    <row r="41" spans="1:34" ht="19.8" customHeight="1" x14ac:dyDescent="0.3">
      <c r="D41" s="41" t="s">
        <v>35</v>
      </c>
      <c r="E41" s="41"/>
      <c r="H41" s="44" t="s">
        <v>36</v>
      </c>
      <c r="I41" s="44"/>
    </row>
    <row r="42" spans="1:34" x14ac:dyDescent="0.3">
      <c r="D42" s="35" t="s">
        <v>34</v>
      </c>
      <c r="E42" s="36">
        <f>F28</f>
        <v>144.01468878693251</v>
      </c>
      <c r="H42" s="35" t="s">
        <v>37</v>
      </c>
      <c r="I42" s="42">
        <f>F28</f>
        <v>144.01468878693251</v>
      </c>
    </row>
    <row r="43" spans="1:34" x14ac:dyDescent="0.3">
      <c r="D43" s="37">
        <v>12480000</v>
      </c>
      <c r="E43" s="46">
        <f t="dataTable" ref="E43:E47" dt2D="0" dtr="0" r1="F9" ca="1"/>
        <v>127.12274032771337</v>
      </c>
      <c r="H43" s="43">
        <v>0.06</v>
      </c>
      <c r="I43" s="38">
        <f t="dataTable" ref="I43:I47" dt2D="0" dtr="0" r1="F8"/>
        <v>109.98280479237727</v>
      </c>
    </row>
    <row r="44" spans="1:34" x14ac:dyDescent="0.3">
      <c r="D44" s="37">
        <v>14040000</v>
      </c>
      <c r="E44" s="46">
        <v>135.56871455732292</v>
      </c>
      <c r="H44" s="43">
        <v>0.08</v>
      </c>
      <c r="I44" s="38">
        <v>126.44618772660235</v>
      </c>
    </row>
    <row r="45" spans="1:34" x14ac:dyDescent="0.3">
      <c r="D45" s="37">
        <v>15600000</v>
      </c>
      <c r="E45" s="47">
        <v>144.01468878693251</v>
      </c>
      <c r="H45" s="43">
        <v>0.1</v>
      </c>
      <c r="I45" s="39">
        <v>144.01468878693251</v>
      </c>
    </row>
    <row r="46" spans="1:34" x14ac:dyDescent="0.3">
      <c r="D46" s="37">
        <v>17160000</v>
      </c>
      <c r="E46" s="48">
        <v>152.4606630165421</v>
      </c>
      <c r="H46" s="43">
        <v>0.12</v>
      </c>
      <c r="I46" s="40">
        <v>162.48094195837976</v>
      </c>
    </row>
    <row r="47" spans="1:34" x14ac:dyDescent="0.3">
      <c r="D47" s="45">
        <v>18720000</v>
      </c>
      <c r="E47" s="48">
        <v>160.90663724615166</v>
      </c>
      <c r="H47" s="43">
        <v>0.14000000000000001</v>
      </c>
      <c r="I47" s="40">
        <v>181.65736005490294</v>
      </c>
    </row>
    <row r="49" spans="1:10" x14ac:dyDescent="0.3">
      <c r="D49" s="49" t="s">
        <v>38</v>
      </c>
      <c r="E49" s="50"/>
      <c r="H49" s="53" t="s">
        <v>39</v>
      </c>
      <c r="I49" s="54"/>
    </row>
    <row r="50" spans="1:10" x14ac:dyDescent="0.3">
      <c r="D50" s="35" t="s">
        <v>34</v>
      </c>
      <c r="E50" s="36">
        <f>F28</f>
        <v>144.01468878693251</v>
      </c>
      <c r="H50" s="35" t="s">
        <v>37</v>
      </c>
      <c r="I50" s="42">
        <f>F28</f>
        <v>144.01468878693251</v>
      </c>
    </row>
    <row r="51" spans="1:10" x14ac:dyDescent="0.3">
      <c r="D51" s="51">
        <v>1.4999999999999999E-2</v>
      </c>
      <c r="E51" s="38">
        <f t="dataTable" ref="E51:E55" dt2D="0" dtr="0" r1="F12" ca="1"/>
        <v>133.36019868038761</v>
      </c>
      <c r="H51" s="43">
        <v>0.85</v>
      </c>
      <c r="I51" s="40">
        <f t="dataTable" ref="I51:I53" dt2D="0" dtr="0" r1="F6" ca="1"/>
        <v>160.95759335010104</v>
      </c>
    </row>
    <row r="52" spans="1:10" x14ac:dyDescent="0.3">
      <c r="D52" s="52">
        <v>0.02</v>
      </c>
      <c r="E52" s="38">
        <v>138.68744373366005</v>
      </c>
      <c r="H52" s="43">
        <v>0.9</v>
      </c>
      <c r="I52" s="39">
        <v>152.01550483065097</v>
      </c>
    </row>
    <row r="53" spans="1:10" x14ac:dyDescent="0.3">
      <c r="D53" s="51">
        <v>2.5000000000000001E-2</v>
      </c>
      <c r="E53" s="39">
        <v>144.01468878693251</v>
      </c>
      <c r="H53" s="43">
        <v>0.95</v>
      </c>
      <c r="I53" s="38">
        <v>144.01468878693251</v>
      </c>
    </row>
    <row r="54" spans="1:10" x14ac:dyDescent="0.3">
      <c r="D54" s="52">
        <v>0.03</v>
      </c>
      <c r="E54" s="40">
        <v>149.34193384020494</v>
      </c>
      <c r="H54" s="19"/>
      <c r="I54" s="19"/>
    </row>
    <row r="55" spans="1:10" x14ac:dyDescent="0.3">
      <c r="D55" s="51">
        <v>3.5000000000000003E-2</v>
      </c>
      <c r="E55" s="40">
        <v>154.66917889347744</v>
      </c>
      <c r="H55" s="19"/>
      <c r="I55" s="19"/>
    </row>
    <row r="57" spans="1:10" x14ac:dyDescent="0.3">
      <c r="G57" s="55"/>
      <c r="H57" s="55" t="s">
        <v>40</v>
      </c>
      <c r="I57" s="56" t="s">
        <v>41</v>
      </c>
      <c r="J57" s="56"/>
    </row>
    <row r="58" spans="1:10" x14ac:dyDescent="0.3">
      <c r="G58" s="34" t="s">
        <v>42</v>
      </c>
      <c r="H58" s="59">
        <f>I47-I45</f>
        <v>37.642671267970428</v>
      </c>
      <c r="I58" s="58">
        <f>I43-I45</f>
        <v>-34.031883994555244</v>
      </c>
      <c r="J58" s="58"/>
    </row>
    <row r="59" spans="1:10" x14ac:dyDescent="0.3">
      <c r="G59" s="34" t="s">
        <v>4</v>
      </c>
      <c r="H59" s="59">
        <f>I51-I53</f>
        <v>16.942904563168526</v>
      </c>
      <c r="I59" s="57">
        <f>I53-I53</f>
        <v>0</v>
      </c>
      <c r="J59" s="57"/>
    </row>
    <row r="60" spans="1:10" x14ac:dyDescent="0.3">
      <c r="G60" s="34" t="s">
        <v>10</v>
      </c>
      <c r="H60" s="59">
        <f>E47-E45</f>
        <v>16.891948459219151</v>
      </c>
      <c r="I60" s="57">
        <f>E43-E45</f>
        <v>-16.891948459219137</v>
      </c>
      <c r="J60" s="57"/>
    </row>
    <row r="61" spans="1:10" x14ac:dyDescent="0.3">
      <c r="G61" s="34" t="s">
        <v>43</v>
      </c>
      <c r="H61" s="59">
        <f>E55-E53</f>
        <v>10.654490106544927</v>
      </c>
      <c r="I61" s="57">
        <f>E51-E53</f>
        <v>-10.654490106544898</v>
      </c>
      <c r="J61" s="57"/>
    </row>
    <row r="64" spans="1:10" ht="18" thickBot="1" x14ac:dyDescent="0.4">
      <c r="A64" s="60" t="s">
        <v>44</v>
      </c>
    </row>
    <row r="65" spans="4:4" ht="15" thickTop="1" x14ac:dyDescent="0.3">
      <c r="D65" s="1" t="s">
        <v>45</v>
      </c>
    </row>
  </sheetData>
  <mergeCells count="9">
    <mergeCell ref="I59:J59"/>
    <mergeCell ref="I60:J60"/>
    <mergeCell ref="I61:J61"/>
    <mergeCell ref="D41:E41"/>
    <mergeCell ref="H41:I41"/>
    <mergeCell ref="D49:E49"/>
    <mergeCell ref="H49:I49"/>
    <mergeCell ref="I57:J57"/>
    <mergeCell ref="I58:J5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LCOE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Cia Jose</dc:creator>
  <cp:lastModifiedBy>Cia Jose</cp:lastModifiedBy>
  <dcterms:created xsi:type="dcterms:W3CDTF">2026-02-25T14:53:34Z</dcterms:created>
  <dcterms:modified xsi:type="dcterms:W3CDTF">2026-02-26T11:44:35Z</dcterms:modified>
</cp:coreProperties>
</file>